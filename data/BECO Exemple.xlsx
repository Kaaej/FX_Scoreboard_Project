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wisslife-my.sharepoint.com/personal/valentin_routier_swisslife-am_com/Documents/Documents/Perso/Dauphine M2/Cours Python/2025/FX Data/"/>
    </mc:Choice>
  </mc:AlternateContent>
  <xr:revisionPtr revIDLastSave="39" documentId="8_{6F8F5367-B8BC-4D24-963A-CA59C6464688}" xr6:coauthVersionLast="47" xr6:coauthVersionMax="47" xr10:uidLastSave="{4299C604-C235-4D2B-A2DF-15F5394A6660}"/>
  <bookViews>
    <workbookView xWindow="-120" yWindow="-120" windowWidth="29040" windowHeight="18240" xr2:uid="{00000000-000D-0000-FFFF-FFFF00000000}"/>
  </bookViews>
  <sheets>
    <sheet name="BIData" sheetId="2" r:id="rId1"/>
    <sheet name="ReferenceData" sheetId="3" r:id="rId2"/>
    <sheet name="Help-Referen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C60" i="3"/>
  <c r="C62" i="3"/>
  <c r="DU74" i="3"/>
  <c r="DT74" i="3"/>
  <c r="DS74" i="3"/>
  <c r="DR74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E74" i="3"/>
  <c r="D74" i="3"/>
  <c r="C74" i="3"/>
  <c r="B74" i="3"/>
  <c r="A74" i="3"/>
  <c r="DU73" i="3"/>
  <c r="DT73" i="3"/>
  <c r="DS73" i="3"/>
  <c r="DR73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A73" i="3"/>
  <c r="DU72" i="3"/>
  <c r="DT72" i="3"/>
  <c r="DS72" i="3"/>
  <c r="DR72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A72" i="3"/>
  <c r="DU71" i="3"/>
  <c r="DT71" i="3"/>
  <c r="DS71" i="3"/>
  <c r="DR71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A71" i="3"/>
  <c r="DU70" i="3"/>
  <c r="DT70" i="3"/>
  <c r="DS70" i="3"/>
  <c r="DR70" i="3"/>
  <c r="DQ70" i="3"/>
  <c r="DP70" i="3"/>
  <c r="DO70" i="3"/>
  <c r="DN70" i="3"/>
  <c r="DM70" i="3"/>
  <c r="DL70" i="3"/>
  <c r="DK70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A70" i="3"/>
  <c r="DU69" i="3"/>
  <c r="DT69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A69" i="3"/>
  <c r="DU68" i="3"/>
  <c r="DT68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A68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A67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A66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A65" i="3"/>
  <c r="DU64" i="3"/>
  <c r="DT64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A64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A63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A62" i="3"/>
  <c r="DU61" i="3"/>
  <c r="DT61" i="3"/>
  <c r="DS61" i="3"/>
  <c r="DR61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A61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A60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A59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A58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E56" i="3"/>
  <c r="D56" i="3"/>
  <c r="C56" i="3"/>
  <c r="B56" i="3"/>
  <c r="A56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E55" i="3"/>
  <c r="D55" i="3"/>
  <c r="C55" i="3"/>
  <c r="B55" i="3"/>
  <c r="A55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E54" i="3"/>
  <c r="D54" i="3"/>
  <c r="C54" i="3"/>
  <c r="A54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E53" i="3"/>
  <c r="D53" i="3"/>
  <c r="C53" i="3"/>
  <c r="B53" i="3"/>
  <c r="A53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A52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E51" i="3"/>
  <c r="D51" i="3"/>
  <c r="C51" i="3"/>
  <c r="B51" i="3"/>
  <c r="A51" i="3"/>
  <c r="DU50" i="3"/>
  <c r="DT50" i="3"/>
  <c r="DS50" i="3"/>
  <c r="DR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E50" i="3"/>
  <c r="D50" i="3"/>
  <c r="C50" i="3"/>
  <c r="B50" i="3"/>
  <c r="A50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E49" i="3"/>
  <c r="D49" i="3"/>
  <c r="C49" i="3"/>
  <c r="B49" i="3"/>
  <c r="A49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E48" i="3"/>
  <c r="D48" i="3"/>
  <c r="C48" i="3"/>
  <c r="B48" i="3"/>
  <c r="A48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E47" i="3"/>
  <c r="D47" i="3"/>
  <c r="C47" i="3"/>
  <c r="B47" i="3"/>
  <c r="A47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E46" i="3"/>
  <c r="D46" i="3"/>
  <c r="C46" i="3"/>
  <c r="B46" i="3"/>
  <c r="A46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E45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43" i="3"/>
  <c r="A43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C41" i="3"/>
  <c r="A41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E40" i="3"/>
  <c r="C40" i="3"/>
  <c r="B40" i="3"/>
  <c r="A40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E39" i="3"/>
  <c r="D39" i="3"/>
  <c r="C39" i="3"/>
  <c r="B39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E38" i="3"/>
  <c r="C38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E37" i="3"/>
  <c r="D37" i="3"/>
  <c r="C37" i="3"/>
  <c r="B37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E36" i="3"/>
  <c r="D36" i="3"/>
  <c r="C36" i="3"/>
  <c r="B36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E35" i="3"/>
  <c r="D35" i="3"/>
  <c r="C35" i="3"/>
  <c r="B35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E34" i="3"/>
  <c r="D34" i="3"/>
  <c r="C34" i="3"/>
  <c r="B34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E33" i="3"/>
  <c r="D33" i="3"/>
  <c r="C33" i="3"/>
  <c r="B33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A31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30" i="3"/>
  <c r="A30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C29" i="3"/>
  <c r="A29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28" i="3"/>
  <c r="A28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C27" i="3"/>
  <c r="B27" i="3"/>
  <c r="A27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26" i="3"/>
  <c r="A26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A25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A24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E15" i="3"/>
  <c r="B15" i="3"/>
  <c r="B15" i="2" s="1"/>
  <c r="A15" i="3"/>
  <c r="A15" i="2" s="1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E14" i="3"/>
  <c r="B14" i="3"/>
  <c r="B14" i="2" s="1"/>
  <c r="A14" i="3"/>
  <c r="A14" i="2" s="1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E13" i="3"/>
  <c r="B13" i="3"/>
  <c r="A13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E12" i="3"/>
  <c r="B12" i="3"/>
  <c r="A12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E11" i="3"/>
  <c r="B11" i="3"/>
  <c r="A11" i="3"/>
  <c r="DU10" i="3"/>
  <c r="DT10" i="3"/>
  <c r="DS10" i="3"/>
  <c r="DR10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E10" i="3"/>
  <c r="D10" i="3"/>
  <c r="D45" i="3" s="1"/>
  <c r="C10" i="3"/>
  <c r="C45" i="3" s="1"/>
  <c r="B10" i="3"/>
  <c r="A10" i="3"/>
  <c r="A45" i="3" s="1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E9" i="3"/>
  <c r="E44" i="3" s="1"/>
  <c r="D9" i="3"/>
  <c r="D44" i="3" s="1"/>
  <c r="C9" i="3"/>
  <c r="C44" i="3" s="1"/>
  <c r="B9" i="3"/>
  <c r="B44" i="3" s="1"/>
  <c r="A9" i="3"/>
  <c r="A44" i="3" s="1"/>
  <c r="DU8" i="3"/>
  <c r="DT8" i="3"/>
  <c r="DS8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E8" i="3"/>
  <c r="E43" i="3" s="1"/>
  <c r="D8" i="3"/>
  <c r="C8" i="3"/>
  <c r="C43" i="3" s="1"/>
  <c r="B8" i="3"/>
  <c r="A8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E7" i="3"/>
  <c r="E42" i="3" s="1"/>
  <c r="D7" i="3"/>
  <c r="C7" i="3"/>
  <c r="B7" i="3"/>
  <c r="B42" i="3" s="1"/>
  <c r="A7" i="3"/>
  <c r="A42" i="3" s="1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E6" i="3"/>
  <c r="D6" i="3"/>
  <c r="C6" i="3"/>
  <c r="B6" i="3"/>
  <c r="B41" i="3" s="1"/>
  <c r="A6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E5" i="3"/>
  <c r="D5" i="3"/>
  <c r="D40" i="3" s="1"/>
  <c r="C5" i="3"/>
  <c r="B5" i="3"/>
  <c r="B5" i="2" s="1"/>
  <c r="A5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E4" i="3"/>
  <c r="D4" i="3"/>
  <c r="C4" i="3"/>
  <c r="B4" i="3"/>
  <c r="A4" i="3"/>
  <c r="A39" i="3" s="1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E3" i="3"/>
  <c r="D3" i="3"/>
  <c r="D38" i="3" s="1"/>
  <c r="C3" i="3"/>
  <c r="B3" i="3"/>
  <c r="B38" i="3" s="1"/>
  <c r="A3" i="3"/>
  <c r="A38" i="3" s="1"/>
  <c r="E2" i="3"/>
  <c r="D2" i="3"/>
  <c r="C2" i="3"/>
  <c r="B2" i="3"/>
  <c r="A2" i="3"/>
  <c r="E15" i="2"/>
  <c r="D15" i="2"/>
  <c r="C15" i="2"/>
  <c r="E14" i="2"/>
  <c r="D14" i="2"/>
  <c r="C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E9" i="2"/>
  <c r="D9" i="2"/>
  <c r="C9" i="2"/>
  <c r="B9" i="2"/>
  <c r="A9" i="2"/>
  <c r="E8" i="2"/>
  <c r="C8" i="2"/>
  <c r="B8" i="2"/>
  <c r="A8" i="2"/>
  <c r="E7" i="2"/>
  <c r="B7" i="2"/>
  <c r="A7" i="2"/>
  <c r="C6" i="2"/>
  <c r="B6" i="2"/>
  <c r="A6" i="2"/>
  <c r="E5" i="2"/>
  <c r="D5" i="2"/>
  <c r="C5" i="2"/>
  <c r="A5" i="2"/>
  <c r="E4" i="2"/>
  <c r="D4" i="2"/>
  <c r="C4" i="2"/>
  <c r="B4" i="2"/>
  <c r="A4" i="2"/>
  <c r="E3" i="2"/>
  <c r="C3" i="2"/>
  <c r="B3" i="2"/>
  <c r="A3" i="2"/>
  <c r="E2" i="2"/>
  <c r="D2" i="2"/>
  <c r="C2" i="2"/>
  <c r="B2" i="2"/>
  <c r="A2" i="2"/>
  <c r="F44" i="3"/>
  <c r="F33" i="3"/>
  <c r="F34" i="3"/>
  <c r="F45" i="3"/>
  <c r="F40" i="3"/>
  <c r="F35" i="3"/>
  <c r="F43" i="3"/>
  <c r="C70" i="3"/>
  <c r="C68" i="3"/>
  <c r="C66" i="3"/>
  <c r="F36" i="3"/>
  <c r="F42" i="3"/>
  <c r="F39" i="3"/>
  <c r="F37" i="3"/>
  <c r="F41" i="3"/>
  <c r="F38" i="3"/>
  <c r="B54" i="3" l="1"/>
  <c r="B45" i="3"/>
  <c r="B10" i="2"/>
  <c r="D41" i="3"/>
  <c r="D6" i="2"/>
  <c r="E6" i="2"/>
  <c r="E41" i="3"/>
  <c r="C42" i="3"/>
  <c r="C7" i="2"/>
  <c r="D7" i="2"/>
  <c r="D42" i="3"/>
  <c r="D43" i="3"/>
  <c r="D8" i="2"/>
  <c r="D3" i="2"/>
  <c r="B29" i="3"/>
  <c r="A10" i="2"/>
  <c r="B60" i="3" l="1"/>
  <c r="B68" i="3"/>
  <c r="B66" i="3"/>
  <c r="B62" i="3"/>
  <c r="B58" i="3"/>
  <c r="B70" i="3"/>
  <c r="BI64" i="3" l="1"/>
  <c r="BI65" i="3" s="1"/>
  <c r="AS64" i="3"/>
  <c r="AS65" i="3" s="1"/>
  <c r="AC64" i="3"/>
  <c r="AC65" i="3" s="1"/>
  <c r="M64" i="3"/>
  <c r="M65" i="3" s="1"/>
  <c r="BH64" i="3"/>
  <c r="BH65" i="3" s="1"/>
  <c r="AR64" i="3"/>
  <c r="AR65" i="3" s="1"/>
  <c r="AB64" i="3"/>
  <c r="AB65" i="3" s="1"/>
  <c r="L64" i="3"/>
  <c r="L65" i="3" s="1"/>
  <c r="BG64" i="3"/>
  <c r="BG65" i="3" s="1"/>
  <c r="AQ64" i="3"/>
  <c r="AQ65" i="3" s="1"/>
  <c r="AA64" i="3"/>
  <c r="AA65" i="3" s="1"/>
  <c r="K64" i="3"/>
  <c r="K65" i="3" s="1"/>
  <c r="BF64" i="3"/>
  <c r="BF65" i="3" s="1"/>
  <c r="AP64" i="3"/>
  <c r="AP65" i="3" s="1"/>
  <c r="Z64" i="3"/>
  <c r="Z65" i="3" s="1"/>
  <c r="J64" i="3"/>
  <c r="J65" i="3" s="1"/>
  <c r="BE64" i="3"/>
  <c r="BE65" i="3" s="1"/>
  <c r="AO64" i="3"/>
  <c r="AO65" i="3" s="1"/>
  <c r="Y64" i="3"/>
  <c r="Y65" i="3" s="1"/>
  <c r="I64" i="3"/>
  <c r="I65" i="3" s="1"/>
  <c r="BD64" i="3"/>
  <c r="BD65" i="3" s="1"/>
  <c r="AN64" i="3"/>
  <c r="AN65" i="3" s="1"/>
  <c r="X64" i="3"/>
  <c r="X65" i="3" s="1"/>
  <c r="H64" i="3"/>
  <c r="H65" i="3" s="1"/>
  <c r="AY64" i="3"/>
  <c r="AY65" i="3" s="1"/>
  <c r="AI64" i="3"/>
  <c r="AI65" i="3" s="1"/>
  <c r="S64" i="3"/>
  <c r="S65" i="3" s="1"/>
  <c r="C64" i="3"/>
  <c r="C65" i="3" s="1"/>
  <c r="AV64" i="3"/>
  <c r="AV65" i="3" s="1"/>
  <c r="R64" i="3"/>
  <c r="R65" i="3" s="1"/>
  <c r="AU64" i="3"/>
  <c r="AU65" i="3" s="1"/>
  <c r="Q64" i="3"/>
  <c r="Q65" i="3" s="1"/>
  <c r="AT64" i="3"/>
  <c r="AT65" i="3" s="1"/>
  <c r="P64" i="3"/>
  <c r="P65" i="3" s="1"/>
  <c r="AM64" i="3"/>
  <c r="AM65" i="3" s="1"/>
  <c r="O64" i="3"/>
  <c r="O65" i="3" s="1"/>
  <c r="AL64" i="3"/>
  <c r="AL65" i="3" s="1"/>
  <c r="N64" i="3"/>
  <c r="N65" i="3" s="1"/>
  <c r="BC64" i="3"/>
  <c r="BC65" i="3" s="1"/>
  <c r="AE64" i="3"/>
  <c r="AE65" i="3" s="1"/>
  <c r="BB64" i="3"/>
  <c r="BB65" i="3" s="1"/>
  <c r="AD64" i="3"/>
  <c r="AD65" i="3" s="1"/>
  <c r="BA64" i="3"/>
  <c r="BA65" i="3" s="1"/>
  <c r="W64" i="3"/>
  <c r="W65" i="3" s="1"/>
  <c r="AW64" i="3"/>
  <c r="AW65" i="3" s="1"/>
  <c r="AK64" i="3"/>
  <c r="AK65" i="3" s="1"/>
  <c r="AJ64" i="3"/>
  <c r="AJ65" i="3" s="1"/>
  <c r="AH64" i="3"/>
  <c r="AH65" i="3" s="1"/>
  <c r="AG64" i="3"/>
  <c r="AG65" i="3" s="1"/>
  <c r="AF64" i="3"/>
  <c r="AF65" i="3" s="1"/>
  <c r="V64" i="3"/>
  <c r="V65" i="3" s="1"/>
  <c r="F64" i="3"/>
  <c r="F65" i="3" s="1"/>
  <c r="E64" i="3"/>
  <c r="E65" i="3" s="1"/>
  <c r="U64" i="3"/>
  <c r="U65" i="3" s="1"/>
  <c r="AZ64" i="3"/>
  <c r="AZ65" i="3" s="1"/>
  <c r="AX64" i="3"/>
  <c r="AX65" i="3" s="1"/>
  <c r="BJ64" i="3"/>
  <c r="BJ65" i="3" s="1"/>
  <c r="T64" i="3"/>
  <c r="T65" i="3" s="1"/>
  <c r="G64" i="3"/>
  <c r="G65" i="3" s="1"/>
  <c r="D64" i="3"/>
  <c r="D65" i="3" s="1"/>
  <c r="B64" i="3"/>
  <c r="B65" i="3" s="1"/>
  <c r="BA72" i="3"/>
  <c r="BA73" i="3" s="1"/>
  <c r="AK72" i="3"/>
  <c r="AK73" i="3" s="1"/>
  <c r="U72" i="3"/>
  <c r="U73" i="3" s="1"/>
  <c r="E72" i="3"/>
  <c r="E73" i="3" s="1"/>
  <c r="AZ72" i="3"/>
  <c r="AZ73" i="3" s="1"/>
  <c r="AJ72" i="3"/>
  <c r="AJ73" i="3" s="1"/>
  <c r="T72" i="3"/>
  <c r="T73" i="3" s="1"/>
  <c r="D72" i="3"/>
  <c r="D73" i="3" s="1"/>
  <c r="AY72" i="3"/>
  <c r="AY73" i="3" s="1"/>
  <c r="AI72" i="3"/>
  <c r="AI73" i="3" s="1"/>
  <c r="S72" i="3"/>
  <c r="S73" i="3" s="1"/>
  <c r="C72" i="3"/>
  <c r="C73" i="3" s="1"/>
  <c r="AX72" i="3"/>
  <c r="AX73" i="3" s="1"/>
  <c r="AH72" i="3"/>
  <c r="AH73" i="3" s="1"/>
  <c r="R72" i="3"/>
  <c r="R73" i="3" s="1"/>
  <c r="B72" i="3"/>
  <c r="B73" i="3" s="1"/>
  <c r="AW72" i="3"/>
  <c r="AW73" i="3" s="1"/>
  <c r="AG72" i="3"/>
  <c r="AG73" i="3" s="1"/>
  <c r="Q72" i="3"/>
  <c r="Q73" i="3" s="1"/>
  <c r="AV72" i="3"/>
  <c r="AV73" i="3" s="1"/>
  <c r="AF72" i="3"/>
  <c r="AF73" i="3" s="1"/>
  <c r="P72" i="3"/>
  <c r="P73" i="3" s="1"/>
  <c r="BG72" i="3"/>
  <c r="BG73" i="3" s="1"/>
  <c r="AQ72" i="3"/>
  <c r="AQ73" i="3" s="1"/>
  <c r="AA72" i="3"/>
  <c r="AA73" i="3" s="1"/>
  <c r="K72" i="3"/>
  <c r="K73" i="3" s="1"/>
  <c r="BF72" i="3"/>
  <c r="BF73" i="3" s="1"/>
  <c r="AP72" i="3"/>
  <c r="AP73" i="3" s="1"/>
  <c r="Z72" i="3"/>
  <c r="Z73" i="3" s="1"/>
  <c r="J72" i="3"/>
  <c r="J73" i="3" s="1"/>
  <c r="BE72" i="3"/>
  <c r="BE73" i="3" s="1"/>
  <c r="AO72" i="3"/>
  <c r="AO73" i="3" s="1"/>
  <c r="Y72" i="3"/>
  <c r="Y73" i="3" s="1"/>
  <c r="I72" i="3"/>
  <c r="I73" i="3" s="1"/>
  <c r="AN72" i="3"/>
  <c r="AN73" i="3" s="1"/>
  <c r="F72" i="3"/>
  <c r="F73" i="3" s="1"/>
  <c r="AM72" i="3"/>
  <c r="AM73" i="3" s="1"/>
  <c r="AL72" i="3"/>
  <c r="AL73" i="3" s="1"/>
  <c r="AE72" i="3"/>
  <c r="AE73" i="3" s="1"/>
  <c r="AD72" i="3"/>
  <c r="AD73" i="3" s="1"/>
  <c r="BC72" i="3"/>
  <c r="BC73" i="3" s="1"/>
  <c r="O72" i="3"/>
  <c r="O73" i="3" s="1"/>
  <c r="BB72" i="3"/>
  <c r="BB73" i="3" s="1"/>
  <c r="N72" i="3"/>
  <c r="N73" i="3" s="1"/>
  <c r="AU72" i="3"/>
  <c r="AU73" i="3" s="1"/>
  <c r="M72" i="3"/>
  <c r="M73" i="3" s="1"/>
  <c r="AC72" i="3"/>
  <c r="AC73" i="3" s="1"/>
  <c r="AB72" i="3"/>
  <c r="AB73" i="3" s="1"/>
  <c r="X72" i="3"/>
  <c r="X73" i="3" s="1"/>
  <c r="W72" i="3"/>
  <c r="W73" i="3" s="1"/>
  <c r="V72" i="3"/>
  <c r="V73" i="3" s="1"/>
  <c r="L72" i="3"/>
  <c r="L73" i="3" s="1"/>
  <c r="H72" i="3"/>
  <c r="H73" i="3" s="1"/>
  <c r="BI72" i="3"/>
  <c r="BI73" i="3" s="1"/>
  <c r="BH72" i="3"/>
  <c r="BH73" i="3" s="1"/>
  <c r="BJ72" i="3"/>
  <c r="BJ73" i="3" s="1"/>
  <c r="BD72" i="3"/>
  <c r="BD73" i="3" s="1"/>
  <c r="AT72" i="3"/>
  <c r="AT73" i="3" s="1"/>
  <c r="AS72" i="3"/>
  <c r="AS73" i="3" s="1"/>
  <c r="AR72" i="3"/>
  <c r="AR73" i="3" s="1"/>
  <c r="G72" i="3"/>
  <c r="G73" i="3" s="1"/>
  <c r="B31" i="3" l="1"/>
  <c r="CU2" i="3"/>
  <c r="AM2" i="3"/>
  <c r="AM2" i="2" s="1"/>
  <c r="U2" i="3"/>
  <c r="U2" i="2" s="1"/>
  <c r="CC2" i="3"/>
  <c r="N2" i="3"/>
  <c r="N2" i="2" s="1"/>
  <c r="BV2" i="3"/>
  <c r="CO2" i="3"/>
  <c r="AG2" i="3"/>
  <c r="AG2" i="2" s="1"/>
  <c r="CB2" i="3"/>
  <c r="T2" i="3"/>
  <c r="T2" i="2" s="1"/>
  <c r="AS2" i="3"/>
  <c r="AS2" i="2" s="1"/>
  <c r="DA2" i="3"/>
  <c r="F2" i="3"/>
  <c r="F2" i="2" s="1"/>
  <c r="BN2" i="3"/>
  <c r="V2" i="3"/>
  <c r="V2" i="2" s="1"/>
  <c r="CD2" i="3"/>
  <c r="CE2" i="3"/>
  <c r="W2" i="3"/>
  <c r="W2" i="2" s="1"/>
  <c r="BJ2" i="3"/>
  <c r="BJ2" i="2" s="1"/>
  <c r="DR2" i="3"/>
  <c r="O2" i="3"/>
  <c r="O2" i="2" s="1"/>
  <c r="BW2" i="3"/>
  <c r="DK2" i="3"/>
  <c r="BC2" i="3"/>
  <c r="BC2" i="2" s="1"/>
  <c r="DN2" i="3"/>
  <c r="BF2" i="3"/>
  <c r="BF2" i="2" s="1"/>
  <c r="CI2" i="3"/>
  <c r="AA2" i="3"/>
  <c r="AA2" i="2" s="1"/>
  <c r="AE2" i="3"/>
  <c r="AE2" i="2" s="1"/>
  <c r="CM2" i="3"/>
  <c r="DG2" i="3"/>
  <c r="AY2" i="3"/>
  <c r="AY2" i="2" s="1"/>
  <c r="BS2" i="3"/>
  <c r="K2" i="3"/>
  <c r="K2" i="2" s="1"/>
  <c r="CF2" i="3"/>
  <c r="X2" i="3"/>
  <c r="X2" i="2" s="1"/>
  <c r="BY2" i="3"/>
  <c r="Q2" i="3"/>
  <c r="Q2" i="2" s="1"/>
  <c r="CY2" i="3"/>
  <c r="AQ2" i="3"/>
  <c r="AQ2" i="2" s="1"/>
  <c r="AU2" i="3"/>
  <c r="AU2" i="2" s="1"/>
  <c r="DC2" i="3"/>
  <c r="AC2" i="3"/>
  <c r="AC2" i="2" s="1"/>
  <c r="CK2" i="3"/>
  <c r="CP2" i="3"/>
  <c r="AH2" i="3"/>
  <c r="AH2" i="2" s="1"/>
  <c r="BP2" i="3"/>
  <c r="H2" i="3"/>
  <c r="H2" i="2" s="1"/>
  <c r="CW2" i="3"/>
  <c r="AO2" i="3"/>
  <c r="AO2" i="2" s="1"/>
  <c r="DO2" i="3"/>
  <c r="BG2" i="3"/>
  <c r="BG2" i="2" s="1"/>
  <c r="BK2" i="3"/>
  <c r="BK2" i="2" s="1"/>
  <c r="DS2" i="3"/>
  <c r="M2" i="3"/>
  <c r="M2" i="2" s="1"/>
  <c r="BU2" i="3"/>
  <c r="DH2" i="3"/>
  <c r="AZ2" i="3"/>
  <c r="AZ2" i="2" s="1"/>
  <c r="BO2" i="3"/>
  <c r="G2" i="3"/>
  <c r="G2" i="2" s="1"/>
  <c r="AD2" i="3"/>
  <c r="AD2" i="2" s="1"/>
  <c r="CL2" i="3"/>
  <c r="AL2" i="3"/>
  <c r="AL2" i="2" s="1"/>
  <c r="CT2" i="3"/>
  <c r="DM2" i="3"/>
  <c r="BE2" i="3"/>
  <c r="BE2" i="2" s="1"/>
  <c r="BA2" i="3"/>
  <c r="BA2" i="2" s="1"/>
  <c r="DI2" i="3"/>
  <c r="BQ2" i="3"/>
  <c r="I2" i="3"/>
  <c r="I2" i="2" s="1"/>
  <c r="BZ2" i="3"/>
  <c r="R2" i="3"/>
  <c r="R2" i="2" s="1"/>
  <c r="L2" i="3"/>
  <c r="L2" i="2" s="1"/>
  <c r="BT2" i="3"/>
  <c r="P2" i="3"/>
  <c r="P2" i="2" s="1"/>
  <c r="BX2" i="3"/>
  <c r="CH2" i="3"/>
  <c r="Z2" i="3"/>
  <c r="Z2" i="2" s="1"/>
  <c r="CG2" i="3"/>
  <c r="Y2" i="3"/>
  <c r="Y2" i="2" s="1"/>
  <c r="CX2" i="3"/>
  <c r="AP2" i="3"/>
  <c r="AP2" i="2" s="1"/>
  <c r="AB2" i="3"/>
  <c r="AB2" i="2" s="1"/>
  <c r="CJ2" i="3"/>
  <c r="AF2" i="3"/>
  <c r="AF2" i="2" s="1"/>
  <c r="CN2" i="3"/>
  <c r="DF2" i="3"/>
  <c r="AX2" i="3"/>
  <c r="AX2" i="2" s="1"/>
  <c r="CV2" i="3"/>
  <c r="AN2" i="3"/>
  <c r="AN2" i="2" s="1"/>
  <c r="BI2" i="3"/>
  <c r="BI2" i="2" s="1"/>
  <c r="DQ2" i="3"/>
  <c r="BR2" i="3"/>
  <c r="J2" i="3"/>
  <c r="J2" i="2" s="1"/>
  <c r="DU2" i="3"/>
  <c r="BM2" i="3"/>
  <c r="BM2" i="2" s="1"/>
  <c r="CQ2" i="3"/>
  <c r="AI2" i="3"/>
  <c r="AI2" i="2" s="1"/>
  <c r="CA2" i="3"/>
  <c r="S2" i="3"/>
  <c r="S2" i="2" s="1"/>
  <c r="AR2" i="3"/>
  <c r="AR2" i="2" s="1"/>
  <c r="CZ2" i="3"/>
  <c r="AV2" i="3"/>
  <c r="AV2" i="2" s="1"/>
  <c r="DD2" i="3"/>
  <c r="AK2" i="3"/>
  <c r="AK2" i="2" s="1"/>
  <c r="CS2" i="3"/>
  <c r="BD2" i="3"/>
  <c r="BD2" i="2" s="1"/>
  <c r="DL2" i="3"/>
  <c r="AT2" i="3"/>
  <c r="AT2" i="2" s="1"/>
  <c r="DB2" i="3"/>
  <c r="BB2" i="3"/>
  <c r="BB2" i="2" s="1"/>
  <c r="DJ2" i="3"/>
  <c r="CR2" i="3"/>
  <c r="AJ2" i="3"/>
  <c r="AJ2" i="2" s="1"/>
  <c r="DE2" i="3"/>
  <c r="AW2" i="3"/>
  <c r="AW2" i="2" s="1"/>
  <c r="BH2" i="3"/>
  <c r="BH2" i="2" s="1"/>
  <c r="DP2" i="3"/>
  <c r="BL2" i="3"/>
  <c r="BL2" i="2" s="1"/>
  <c r="DT2" i="3"/>
  <c r="AL10" i="3"/>
  <c r="AV9" i="3"/>
  <c r="L5" i="3"/>
  <c r="AP14" i="3"/>
  <c r="AT3" i="3"/>
  <c r="AK8" i="3"/>
  <c r="AO3" i="3"/>
  <c r="Z14" i="3"/>
  <c r="BA15" i="3"/>
  <c r="AL7" i="3"/>
  <c r="AN5" i="3"/>
  <c r="BH9" i="3"/>
  <c r="BJ3" i="3"/>
  <c r="BM13" i="3"/>
  <c r="AL13" i="3"/>
  <c r="AQ4" i="3"/>
  <c r="H7" i="3"/>
  <c r="U13" i="3"/>
  <c r="AU4" i="3"/>
  <c r="AB3" i="3"/>
  <c r="AP13" i="3"/>
  <c r="AI4" i="3"/>
  <c r="AD4" i="3"/>
  <c r="BI12" i="3"/>
  <c r="BC3" i="3"/>
  <c r="AK4" i="3"/>
  <c r="I15" i="3"/>
  <c r="AE3" i="3"/>
  <c r="AH3" i="3"/>
  <c r="AM6" i="3"/>
  <c r="AY8" i="3"/>
  <c r="BG12" i="3"/>
  <c r="AO8" i="3"/>
  <c r="BA6" i="3"/>
  <c r="BC15" i="3"/>
  <c r="Q14" i="3"/>
  <c r="AW13" i="3"/>
  <c r="BC10" i="3"/>
  <c r="AF4" i="3"/>
  <c r="K7" i="3"/>
  <c r="AA8" i="3"/>
  <c r="AO4" i="3"/>
  <c r="S7" i="3"/>
  <c r="AW15" i="3"/>
  <c r="BJ10" i="3"/>
  <c r="AE13" i="3"/>
  <c r="AG4" i="3"/>
  <c r="X6" i="3"/>
  <c r="BG10" i="3"/>
  <c r="J6" i="3"/>
  <c r="AI10" i="3"/>
  <c r="U3" i="3"/>
  <c r="V10" i="3"/>
  <c r="Y9" i="3"/>
  <c r="O4" i="3"/>
  <c r="BC7" i="3"/>
  <c r="AY9" i="3"/>
  <c r="BH8" i="3"/>
  <c r="AD3" i="3"/>
  <c r="J14" i="3"/>
  <c r="Z15" i="3"/>
  <c r="AE14" i="3"/>
  <c r="AE6" i="3"/>
  <c r="AJ9" i="3"/>
  <c r="Z10" i="3"/>
  <c r="AU13" i="3"/>
  <c r="AJ4" i="3"/>
  <c r="G4" i="3"/>
  <c r="U8" i="3"/>
  <c r="BF13" i="3"/>
  <c r="S13" i="3"/>
  <c r="BE7" i="3"/>
  <c r="AZ3" i="3"/>
  <c r="AR8" i="3"/>
  <c r="AF8" i="3"/>
  <c r="S10" i="3"/>
  <c r="AF7" i="3"/>
  <c r="P12" i="3"/>
  <c r="W12" i="3"/>
  <c r="BJ11" i="3"/>
  <c r="AE11" i="3"/>
  <c r="L9" i="3"/>
  <c r="BB6" i="3"/>
  <c r="AI11" i="3"/>
  <c r="BB14" i="3"/>
  <c r="Q5" i="3"/>
  <c r="AQ6" i="3"/>
  <c r="AY3" i="3"/>
  <c r="AM15" i="3"/>
  <c r="AG13" i="3"/>
  <c r="AN3" i="3"/>
  <c r="Z7" i="3"/>
  <c r="AC11" i="3"/>
  <c r="AH6" i="3"/>
  <c r="BD4" i="3"/>
  <c r="BG6" i="3"/>
  <c r="AD10" i="3"/>
  <c r="P9" i="3"/>
  <c r="T11" i="3"/>
  <c r="AA6" i="3"/>
  <c r="Z9" i="3"/>
  <c r="N4" i="3"/>
  <c r="K4" i="3"/>
  <c r="AC14" i="3"/>
  <c r="BE15" i="3"/>
  <c r="BE14" i="3"/>
  <c r="AH10" i="3"/>
  <c r="AV7" i="3"/>
  <c r="BC5" i="3"/>
  <c r="L10" i="3"/>
  <c r="AK14" i="3"/>
  <c r="S12" i="3"/>
  <c r="AM5" i="3"/>
  <c r="AU9" i="3"/>
  <c r="AU11" i="3"/>
  <c r="AI9" i="3"/>
  <c r="AZ15" i="3"/>
  <c r="AV5" i="3"/>
  <c r="AQ10" i="3"/>
  <c r="X5" i="3"/>
  <c r="AF9" i="3"/>
  <c r="L15" i="3"/>
  <c r="AU8" i="3"/>
  <c r="AU6" i="3"/>
  <c r="F14" i="3"/>
  <c r="BH12" i="3"/>
  <c r="BJ8" i="3"/>
  <c r="BB12" i="3"/>
  <c r="AL12" i="3"/>
  <c r="AG14" i="3"/>
  <c r="BK12" i="3"/>
  <c r="R10" i="3"/>
  <c r="AO13" i="3"/>
  <c r="AS7" i="3"/>
  <c r="O13" i="3"/>
  <c r="AR9" i="3"/>
  <c r="M12" i="3"/>
  <c r="O6" i="3"/>
  <c r="BI11" i="3"/>
  <c r="U7" i="3"/>
  <c r="AY5" i="3"/>
  <c r="AG15" i="3"/>
  <c r="BB10" i="3"/>
  <c r="BM15" i="3"/>
  <c r="S11" i="3"/>
  <c r="P14" i="3"/>
  <c r="BF9" i="3"/>
  <c r="BM6" i="3"/>
  <c r="BH6" i="3"/>
  <c r="AY14" i="3"/>
  <c r="AY7" i="3"/>
  <c r="M15" i="3"/>
  <c r="I7" i="3"/>
  <c r="AD5" i="3"/>
  <c r="AR5" i="3"/>
  <c r="AT14" i="3"/>
  <c r="L13" i="3"/>
  <c r="AN12" i="3"/>
  <c r="AO11" i="3"/>
  <c r="W4" i="3"/>
  <c r="P5" i="3"/>
  <c r="BA12" i="3"/>
  <c r="AK10" i="3"/>
  <c r="BH3" i="3"/>
  <c r="BM4" i="3"/>
  <c r="AO14" i="3"/>
  <c r="K10" i="3"/>
  <c r="AY6" i="3"/>
  <c r="BE4" i="3"/>
  <c r="Y14" i="3"/>
  <c r="AT9" i="3"/>
  <c r="BM5" i="3"/>
  <c r="W5" i="3"/>
  <c r="X9" i="3"/>
  <c r="AL8" i="3"/>
  <c r="AZ14" i="3"/>
  <c r="BA13" i="3"/>
  <c r="BJ14" i="3"/>
  <c r="BD15" i="3"/>
  <c r="BJ12" i="3"/>
  <c r="AS5" i="3"/>
  <c r="AO7" i="3"/>
  <c r="AO12" i="3"/>
  <c r="AH4" i="3"/>
  <c r="BF3" i="3"/>
  <c r="P7" i="3"/>
  <c r="G8" i="3"/>
  <c r="AT12" i="3"/>
  <c r="AG5" i="3"/>
  <c r="AG12" i="3"/>
  <c r="AG3" i="3"/>
  <c r="N13" i="3"/>
  <c r="AV14" i="3"/>
  <c r="AZ12" i="3"/>
  <c r="AG8" i="3"/>
  <c r="AE7" i="3"/>
  <c r="AP15" i="3"/>
  <c r="BB8" i="3"/>
  <c r="K11" i="3"/>
  <c r="N15" i="3"/>
  <c r="AS11" i="3"/>
  <c r="AX6" i="3"/>
  <c r="S5" i="3"/>
  <c r="AR6" i="3"/>
  <c r="BH13" i="3"/>
  <c r="AF15" i="3"/>
  <c r="BL7" i="3"/>
  <c r="H11" i="3"/>
  <c r="AJ7" i="3"/>
  <c r="AM11" i="3"/>
  <c r="N12" i="3"/>
  <c r="M8" i="3"/>
  <c r="AN11" i="3"/>
  <c r="V3" i="3"/>
  <c r="BC9" i="3"/>
  <c r="BD6" i="3"/>
  <c r="BL4" i="3"/>
  <c r="AW3" i="3"/>
  <c r="AP9" i="3"/>
  <c r="I6" i="3"/>
  <c r="BK6" i="3"/>
  <c r="AL6" i="3"/>
  <c r="U10" i="3"/>
  <c r="AK3" i="3"/>
  <c r="I4" i="3"/>
  <c r="AZ8" i="3"/>
  <c r="AX9" i="3"/>
  <c r="J3" i="3"/>
  <c r="N3" i="3"/>
  <c r="I14" i="3"/>
  <c r="W9" i="3"/>
  <c r="M4" i="3"/>
  <c r="O9" i="3"/>
  <c r="S9" i="3"/>
  <c r="Y15" i="3"/>
  <c r="H4" i="3"/>
  <c r="R4" i="3"/>
  <c r="O11" i="3"/>
  <c r="AC3" i="3"/>
  <c r="F11" i="3"/>
  <c r="M13" i="3"/>
  <c r="BC6" i="3"/>
  <c r="AA12" i="3"/>
  <c r="BI3" i="3"/>
  <c r="BK3" i="3"/>
  <c r="F7" i="3"/>
  <c r="AF3" i="3"/>
  <c r="O12" i="3"/>
  <c r="AD6" i="3"/>
  <c r="AF10" i="3"/>
  <c r="U15" i="3"/>
  <c r="AU12" i="3"/>
  <c r="BL15" i="3"/>
  <c r="BA8" i="3"/>
  <c r="AC12" i="3"/>
  <c r="AO6" i="3"/>
  <c r="Y6" i="3"/>
  <c r="O7" i="3"/>
  <c r="S15" i="3"/>
  <c r="V8" i="3"/>
  <c r="P15" i="3"/>
  <c r="AW12" i="3"/>
  <c r="AB11" i="3"/>
  <c r="AB13" i="3"/>
  <c r="BG15" i="3"/>
  <c r="AO10" i="3"/>
  <c r="BK10" i="3"/>
  <c r="F15" i="3"/>
  <c r="AC8" i="3"/>
  <c r="AK9" i="3"/>
  <c r="AU14" i="3"/>
  <c r="BA10" i="3"/>
  <c r="AI7" i="3"/>
  <c r="BJ7" i="3"/>
  <c r="W15" i="3"/>
  <c r="AN14" i="3"/>
  <c r="AX10" i="3"/>
  <c r="S8" i="3"/>
  <c r="BB5" i="3"/>
  <c r="AF6" i="3"/>
  <c r="AH7" i="3"/>
  <c r="R13" i="3"/>
  <c r="AL5" i="3"/>
  <c r="BI5" i="3"/>
  <c r="BF15" i="3"/>
  <c r="AH9" i="3"/>
  <c r="AX15" i="3"/>
  <c r="AE10" i="3"/>
  <c r="BK7" i="3"/>
  <c r="G5" i="3"/>
  <c r="AY15" i="3"/>
  <c r="AT11" i="3"/>
  <c r="AN8" i="3"/>
  <c r="Z12" i="3"/>
  <c r="AG11" i="3"/>
  <c r="AM13" i="3"/>
  <c r="BD8" i="3"/>
  <c r="BC8" i="3"/>
  <c r="F5" i="3"/>
  <c r="K12" i="3"/>
  <c r="X8" i="3"/>
  <c r="U4" i="3"/>
  <c r="S14" i="3"/>
  <c r="AR7" i="3"/>
  <c r="AY10" i="3"/>
  <c r="H3" i="3"/>
  <c r="J5" i="3"/>
  <c r="N8" i="3"/>
  <c r="BH11" i="3"/>
  <c r="T14" i="3"/>
  <c r="AP3" i="3"/>
  <c r="G15" i="3"/>
  <c r="AJ10" i="3"/>
  <c r="AV15" i="3"/>
  <c r="Z8" i="3"/>
  <c r="AX11" i="3"/>
  <c r="L11" i="3"/>
  <c r="P13" i="3"/>
  <c r="N7" i="3"/>
  <c r="AI12" i="3"/>
  <c r="BM7" i="3"/>
  <c r="BF7" i="3"/>
  <c r="AH11" i="3"/>
  <c r="AI6" i="3"/>
  <c r="BG3" i="3"/>
  <c r="W10" i="3"/>
  <c r="AD13" i="3"/>
  <c r="AZ10" i="3"/>
  <c r="AR3" i="3"/>
  <c r="AV10" i="3"/>
  <c r="AX13" i="3"/>
  <c r="V7" i="3"/>
  <c r="T10" i="3"/>
  <c r="AZ5" i="3"/>
  <c r="AI5" i="3"/>
  <c r="X14" i="3"/>
  <c r="J10" i="3"/>
  <c r="AG7" i="3"/>
  <c r="AN4" i="3"/>
  <c r="H14" i="3"/>
  <c r="AL9" i="3"/>
  <c r="AJ6" i="3"/>
  <c r="V5" i="3"/>
  <c r="AC5" i="3"/>
  <c r="AA10" i="3"/>
  <c r="BI7" i="3"/>
  <c r="AZ13" i="3"/>
  <c r="BF8" i="3"/>
  <c r="T3" i="3"/>
  <c r="BE10" i="3"/>
  <c r="AH8" i="3"/>
  <c r="T5" i="3"/>
  <c r="U9" i="3"/>
  <c r="AB4" i="3"/>
  <c r="AQ12" i="3"/>
  <c r="W13" i="3"/>
  <c r="W6" i="3"/>
  <c r="AC10" i="3"/>
  <c r="BM3" i="3"/>
  <c r="BH5" i="3"/>
  <c r="P3" i="3"/>
  <c r="BM14" i="3"/>
  <c r="BB15" i="3"/>
  <c r="Q10" i="3"/>
  <c r="H8" i="3"/>
  <c r="AT7" i="3"/>
  <c r="AA13" i="3"/>
  <c r="AE4" i="3"/>
  <c r="W14" i="3"/>
  <c r="AX14" i="3"/>
  <c r="AR11" i="3"/>
  <c r="BD13" i="3"/>
  <c r="L3" i="3"/>
  <c r="AP6" i="3"/>
  <c r="AI3" i="3"/>
  <c r="AU15" i="3"/>
  <c r="AA5" i="3"/>
  <c r="Q4" i="3"/>
  <c r="J12" i="3"/>
  <c r="X11" i="3"/>
  <c r="BA11" i="3"/>
  <c r="AP7" i="3"/>
  <c r="O15" i="3"/>
  <c r="AF5" i="3"/>
  <c r="AI8" i="3"/>
  <c r="BH7" i="3"/>
  <c r="AW4" i="3"/>
  <c r="R15" i="3"/>
  <c r="BE3" i="3"/>
  <c r="AO9" i="3"/>
  <c r="Q7" i="3"/>
  <c r="H6" i="3"/>
  <c r="AC6" i="3"/>
  <c r="AK12" i="3"/>
  <c r="BM9" i="3"/>
  <c r="AQ15" i="3"/>
  <c r="AS4" i="3"/>
  <c r="BA7" i="3"/>
  <c r="AW9" i="3"/>
  <c r="BL14" i="3"/>
  <c r="AS3" i="3"/>
  <c r="AY13" i="3"/>
  <c r="BI8" i="3"/>
  <c r="AP5" i="3"/>
  <c r="BG7" i="3"/>
  <c r="R9" i="3"/>
  <c r="H15" i="3"/>
  <c r="AJ14" i="3"/>
  <c r="AK15" i="3"/>
  <c r="BM12" i="3"/>
  <c r="V11" i="3"/>
  <c r="BB4" i="3"/>
  <c r="U11" i="3"/>
  <c r="BA3" i="3"/>
  <c r="AX8" i="3"/>
  <c r="BL11" i="3"/>
  <c r="J15" i="3"/>
  <c r="AD12" i="3"/>
  <c r="BJ9" i="3"/>
  <c r="BE11" i="3"/>
  <c r="AB5" i="3"/>
  <c r="R11" i="3"/>
  <c r="BE9" i="3"/>
  <c r="AL15" i="3"/>
  <c r="R3" i="3"/>
  <c r="P6" i="3"/>
  <c r="G6" i="3"/>
  <c r="BJ4" i="3"/>
  <c r="BG13" i="3"/>
  <c r="AD7" i="3"/>
  <c r="BF12" i="3"/>
  <c r="AL3" i="3"/>
  <c r="J11" i="3"/>
  <c r="AF12" i="3"/>
  <c r="AA11" i="3"/>
  <c r="BL10" i="3"/>
  <c r="AS8" i="3"/>
  <c r="AB10" i="3"/>
  <c r="AZ6" i="3"/>
  <c r="AX7" i="3"/>
  <c r="AG10" i="3"/>
  <c r="AA15" i="3"/>
  <c r="AU3" i="3"/>
  <c r="P8" i="3"/>
  <c r="AN7" i="3"/>
  <c r="Q8" i="3"/>
  <c r="J4" i="3"/>
  <c r="AN13" i="3"/>
  <c r="T8" i="3"/>
  <c r="AV11" i="3"/>
  <c r="V4" i="3"/>
  <c r="AH5" i="3"/>
  <c r="BD14" i="3"/>
  <c r="AH14" i="3"/>
  <c r="AS10" i="3"/>
  <c r="I8" i="3"/>
  <c r="BA5" i="3"/>
  <c r="BF5" i="3"/>
  <c r="N11" i="3"/>
  <c r="AO15" i="3"/>
  <c r="AK5" i="3"/>
  <c r="Z5" i="3"/>
  <c r="BI9" i="3"/>
  <c r="AG9" i="3"/>
  <c r="U14" i="3"/>
  <c r="AH15" i="3"/>
  <c r="K15" i="3"/>
  <c r="AY4" i="3"/>
  <c r="BI4" i="3"/>
  <c r="K3" i="3"/>
  <c r="G14" i="3"/>
  <c r="AW8" i="3"/>
  <c r="AQ5" i="3"/>
  <c r="V13" i="3"/>
  <c r="P4" i="3"/>
  <c r="AS6" i="3"/>
  <c r="F13" i="3"/>
  <c r="M6" i="3"/>
  <c r="AQ13" i="3"/>
  <c r="BL9" i="3"/>
  <c r="BB9" i="3"/>
  <c r="AQ7" i="3"/>
  <c r="AE9" i="3"/>
  <c r="AG6" i="3"/>
  <c r="Q15" i="3"/>
  <c r="BL13" i="3"/>
  <c r="BG11" i="3"/>
  <c r="BC11" i="3"/>
  <c r="BF10" i="3"/>
  <c r="AV4" i="3"/>
  <c r="AJ12" i="3"/>
  <c r="BK15" i="3"/>
  <c r="AX5" i="3"/>
  <c r="N5" i="3"/>
  <c r="AN6" i="3"/>
  <c r="AE12" i="3"/>
  <c r="BF6" i="3"/>
  <c r="BB11" i="3"/>
  <c r="BL6" i="3"/>
  <c r="J13" i="3"/>
  <c r="BJ5" i="3"/>
  <c r="BG14" i="3"/>
  <c r="AB12" i="3"/>
  <c r="BD12" i="3"/>
  <c r="AS15" i="3"/>
  <c r="AZ9" i="3"/>
  <c r="BH10" i="3"/>
  <c r="AT10" i="3"/>
  <c r="AC4" i="3"/>
  <c r="BH14" i="3"/>
  <c r="N10" i="3"/>
  <c r="BM11" i="3"/>
  <c r="F9" i="3"/>
  <c r="R14" i="3"/>
  <c r="AD9" i="3"/>
  <c r="AM3" i="3"/>
  <c r="Z13" i="3"/>
  <c r="BI13" i="3"/>
  <c r="BE8" i="3"/>
  <c r="J7" i="3"/>
  <c r="U5" i="3"/>
  <c r="BF4" i="3"/>
  <c r="G9" i="3"/>
  <c r="AJ11" i="3"/>
  <c r="AI13" i="3"/>
  <c r="AB8" i="3"/>
  <c r="AT4" i="3"/>
  <c r="BC14" i="3"/>
  <c r="BL12" i="3"/>
  <c r="BK11" i="3"/>
  <c r="T9" i="3"/>
  <c r="BH15" i="3"/>
  <c r="Y12" i="3"/>
  <c r="BA4" i="3"/>
  <c r="T12" i="3"/>
  <c r="AF14" i="3"/>
  <c r="R7" i="3"/>
  <c r="G3" i="3"/>
  <c r="O3" i="3"/>
  <c r="BK14" i="3"/>
  <c r="G7" i="3"/>
  <c r="BK5" i="3"/>
  <c r="AU10" i="3"/>
  <c r="AC7" i="3"/>
  <c r="AS12" i="3"/>
  <c r="AQ8" i="3"/>
  <c r="X7" i="3"/>
  <c r="M10" i="3"/>
  <c r="AQ11" i="3"/>
  <c r="AF11" i="3"/>
  <c r="AS9" i="3"/>
  <c r="R6" i="3"/>
  <c r="H12" i="3"/>
  <c r="AT15" i="3"/>
  <c r="BK4" i="3"/>
  <c r="R8" i="3"/>
  <c r="Z6" i="3"/>
  <c r="AL11" i="3"/>
  <c r="AJ13" i="3"/>
  <c r="BG4" i="3"/>
  <c r="BF14" i="3"/>
  <c r="V9" i="3"/>
  <c r="AB6" i="3"/>
  <c r="AN10" i="3"/>
  <c r="AU5" i="3"/>
  <c r="W3" i="3"/>
  <c r="AR14" i="3"/>
  <c r="BG9" i="3"/>
  <c r="W11" i="3"/>
  <c r="F8" i="3"/>
  <c r="AB14" i="3"/>
  <c r="AQ9" i="3"/>
  <c r="AR10" i="3"/>
  <c r="F10" i="3"/>
  <c r="AS13" i="3"/>
  <c r="Y8" i="3"/>
  <c r="T15" i="3"/>
  <c r="BD3" i="3"/>
  <c r="Q9" i="3"/>
  <c r="AH13" i="3"/>
  <c r="BJ13" i="3"/>
  <c r="AR13" i="3"/>
  <c r="T4" i="3"/>
  <c r="Y13" i="3"/>
  <c r="H5" i="3"/>
  <c r="I9" i="3"/>
  <c r="AT13" i="3"/>
  <c r="AV8" i="3"/>
  <c r="AW14" i="3"/>
  <c r="BE12" i="3"/>
  <c r="X3" i="3"/>
  <c r="AQ3" i="3"/>
  <c r="AY11" i="3"/>
  <c r="AN15" i="3"/>
  <c r="BM10" i="3"/>
  <c r="AM4" i="3"/>
  <c r="AM14" i="3"/>
  <c r="Q3" i="3"/>
  <c r="AR12" i="3"/>
  <c r="X13" i="3"/>
  <c r="T7" i="3"/>
  <c r="Y4" i="3"/>
  <c r="M7" i="3"/>
  <c r="V12" i="3"/>
  <c r="AW7" i="3"/>
  <c r="G12" i="3"/>
  <c r="AY12" i="3"/>
  <c r="Z11" i="3"/>
  <c r="M5" i="3"/>
  <c r="BC12" i="3"/>
  <c r="O8" i="3"/>
  <c r="Q12" i="3"/>
  <c r="K13" i="3"/>
  <c r="K6" i="3"/>
  <c r="BD9" i="3"/>
  <c r="J9" i="3"/>
  <c r="L6" i="3"/>
  <c r="AF13" i="3"/>
  <c r="T6" i="3"/>
  <c r="X10" i="3"/>
  <c r="AE5" i="3"/>
  <c r="AJ15" i="3"/>
  <c r="G13" i="3"/>
  <c r="H10" i="3"/>
  <c r="O5" i="3"/>
  <c r="BA14" i="3"/>
  <c r="L14" i="3"/>
  <c r="AA9" i="3"/>
  <c r="BK9" i="3"/>
  <c r="F6" i="3"/>
  <c r="N6" i="3"/>
  <c r="AX4" i="3"/>
  <c r="AA4" i="3"/>
  <c r="J8" i="3"/>
  <c r="Y7" i="3"/>
  <c r="AE8" i="3"/>
  <c r="AS14" i="3"/>
  <c r="AK13" i="3"/>
  <c r="AI14" i="3"/>
  <c r="AK11" i="3"/>
  <c r="T13" i="3"/>
  <c r="AT6" i="3"/>
  <c r="BJ6" i="3"/>
  <c r="K5" i="3"/>
  <c r="R12" i="3"/>
  <c r="AK7" i="3"/>
  <c r="V6" i="3"/>
  <c r="M11" i="3"/>
  <c r="BI10" i="3"/>
  <c r="BD11" i="3"/>
  <c r="BF11" i="3"/>
  <c r="BL5" i="3"/>
  <c r="AN9" i="3"/>
  <c r="AJ3" i="3"/>
  <c r="BI6" i="3"/>
  <c r="BJ15" i="3"/>
  <c r="U12" i="3"/>
  <c r="AZ11" i="3"/>
  <c r="AD11" i="3"/>
  <c r="I10" i="3"/>
  <c r="BE6" i="3"/>
  <c r="Q11" i="3"/>
  <c r="AL4" i="3"/>
  <c r="AX3" i="3"/>
  <c r="P10" i="3"/>
  <c r="BD7" i="3"/>
  <c r="BD5" i="3"/>
  <c r="X12" i="3"/>
  <c r="BK8" i="3"/>
  <c r="AA7" i="3"/>
  <c r="Y11" i="3"/>
  <c r="AQ14" i="3"/>
  <c r="AV6" i="3"/>
  <c r="M9" i="3"/>
  <c r="BE5" i="3"/>
  <c r="I13" i="3"/>
  <c r="AW5" i="3"/>
  <c r="H13" i="3"/>
  <c r="AO5" i="3"/>
  <c r="AM12" i="3"/>
  <c r="R5" i="3"/>
  <c r="BA9" i="3"/>
  <c r="BH4" i="3"/>
  <c r="O14" i="3"/>
  <c r="M14" i="3"/>
  <c r="AW11" i="3"/>
  <c r="AC13" i="3"/>
  <c r="BB7" i="3"/>
  <c r="AV13" i="3"/>
  <c r="Z3" i="3"/>
  <c r="BL3" i="3"/>
  <c r="H9" i="3"/>
  <c r="BL8" i="3"/>
  <c r="BI14" i="3"/>
  <c r="M3" i="3"/>
  <c r="S4" i="3"/>
  <c r="AI15" i="3"/>
  <c r="Z4" i="3"/>
  <c r="AJ8" i="3"/>
  <c r="AU7" i="3"/>
  <c r="I3" i="3"/>
  <c r="AB9" i="3"/>
  <c r="AE15" i="3"/>
  <c r="W7" i="3"/>
  <c r="BK13" i="3"/>
  <c r="AB7" i="3"/>
  <c r="O10" i="3"/>
  <c r="AD14" i="3"/>
  <c r="AW6" i="3"/>
  <c r="F12" i="3"/>
  <c r="AP11" i="3"/>
  <c r="AJ5" i="3"/>
  <c r="AM8" i="3"/>
  <c r="AA3" i="3"/>
  <c r="AP4" i="3"/>
  <c r="AC15" i="3"/>
  <c r="P11" i="3"/>
  <c r="BB13" i="3"/>
  <c r="F3" i="3"/>
  <c r="BD10" i="3"/>
  <c r="AR15" i="3"/>
  <c r="AV3" i="3"/>
  <c r="AW10" i="3"/>
  <c r="BM8" i="3"/>
  <c r="L4" i="3"/>
  <c r="BG8" i="3"/>
  <c r="Q6" i="3"/>
  <c r="AM10" i="3"/>
  <c r="I12" i="3"/>
  <c r="BE13" i="3"/>
  <c r="AA14" i="3"/>
  <c r="U6" i="3"/>
  <c r="AP8" i="3"/>
  <c r="AX12" i="3"/>
  <c r="K14" i="3"/>
  <c r="BG5" i="3"/>
  <c r="K8" i="3"/>
  <c r="Y5" i="3"/>
  <c r="L12" i="3"/>
  <c r="BC4" i="3"/>
  <c r="AV12" i="3"/>
  <c r="BC13" i="3"/>
  <c r="K9" i="3"/>
  <c r="AC9" i="3"/>
  <c r="F4" i="3"/>
  <c r="W8" i="3"/>
  <c r="AD8" i="3"/>
  <c r="G11" i="3"/>
  <c r="AZ4" i="3"/>
  <c r="X15" i="3"/>
  <c r="AT5" i="3"/>
  <c r="AT8" i="3"/>
  <c r="S6" i="3"/>
  <c r="AZ7" i="3"/>
  <c r="L8" i="3"/>
  <c r="S3" i="3"/>
  <c r="N9" i="3"/>
  <c r="Q13" i="3"/>
  <c r="AD15" i="3"/>
  <c r="BB3" i="3"/>
  <c r="AH12" i="3"/>
  <c r="BI15" i="3"/>
  <c r="V14" i="3"/>
  <c r="N14" i="3"/>
  <c r="AB15" i="3"/>
  <c r="AL14" i="3"/>
  <c r="L7" i="3"/>
  <c r="AM9" i="3"/>
  <c r="AK6" i="3"/>
  <c r="X4" i="3"/>
  <c r="AP10" i="3"/>
  <c r="I11" i="3"/>
  <c r="G10" i="3"/>
  <c r="AR4" i="3"/>
  <c r="V15" i="3"/>
  <c r="AP12" i="3"/>
  <c r="Y10" i="3"/>
  <c r="I5" i="3"/>
  <c r="Y3" i="3"/>
  <c r="AM7" i="3"/>
  <c r="F15" i="2" l="1"/>
  <c r="N12" i="2"/>
  <c r="AD5" i="2"/>
  <c r="P9" i="2"/>
  <c r="BG10" i="2"/>
  <c r="V7" i="2"/>
  <c r="AR15" i="2"/>
  <c r="AT14" i="2"/>
  <c r="AU3" i="2"/>
  <c r="R8" i="2"/>
  <c r="AI6" i="2"/>
  <c r="BJ5" i="2"/>
  <c r="J13" i="2"/>
  <c r="AZ6" i="2"/>
  <c r="X11" i="2"/>
  <c r="AH11" i="2"/>
  <c r="BK10" i="2"/>
  <c r="AM11" i="2"/>
  <c r="I7" i="2"/>
  <c r="AD10" i="2"/>
  <c r="X6" i="2"/>
  <c r="BD14" i="2"/>
  <c r="BA10" i="2"/>
  <c r="Z6" i="2"/>
  <c r="O15" i="2"/>
  <c r="BG14" i="2"/>
  <c r="AA15" i="2"/>
  <c r="BK4" i="2"/>
  <c r="AX7" i="2"/>
  <c r="AB10" i="2"/>
  <c r="J12" i="2"/>
  <c r="BF7" i="2"/>
  <c r="AO10" i="2"/>
  <c r="AJ7" i="2"/>
  <c r="M15" i="2"/>
  <c r="BG6" i="2"/>
  <c r="AG4" i="2"/>
  <c r="Q6" i="2"/>
  <c r="AR3" i="2"/>
  <c r="M8" i="2"/>
  <c r="T11" i="2"/>
  <c r="AR5" i="2"/>
  <c r="AP7" i="2"/>
  <c r="AG10" i="2"/>
  <c r="BL6" i="2"/>
  <c r="AS8" i="2"/>
  <c r="Q4" i="2"/>
  <c r="BM7" i="2"/>
  <c r="BG15" i="2"/>
  <c r="H11" i="2"/>
  <c r="AY7" i="2"/>
  <c r="BD4" i="2"/>
  <c r="AE13" i="2"/>
  <c r="BA12" i="2"/>
  <c r="BD7" i="2"/>
  <c r="BG3" i="2"/>
  <c r="BC12" i="2"/>
  <c r="AC8" i="2"/>
  <c r="M5" i="2"/>
  <c r="BA11" i="2"/>
  <c r="BB11" i="2"/>
  <c r="BL10" i="2"/>
  <c r="AA5" i="2"/>
  <c r="AI12" i="2"/>
  <c r="AB13" i="2"/>
  <c r="BL7" i="2"/>
  <c r="AY14" i="2"/>
  <c r="AH6" i="2"/>
  <c r="BJ10" i="2"/>
  <c r="W15" i="2"/>
  <c r="BD6" i="2"/>
  <c r="I11" i="2"/>
  <c r="AC15" i="2"/>
  <c r="BE6" i="2"/>
  <c r="Z11" i="2"/>
  <c r="AT15" i="2"/>
  <c r="BF6" i="2"/>
  <c r="AA11" i="2"/>
  <c r="AU15" i="2"/>
  <c r="N7" i="2"/>
  <c r="AB11" i="2"/>
  <c r="AF15" i="2"/>
  <c r="BH6" i="2"/>
  <c r="AC11" i="2"/>
  <c r="AW15" i="2"/>
  <c r="Q7" i="2"/>
  <c r="AW4" i="2"/>
  <c r="AP10" i="2"/>
  <c r="AP4" i="2"/>
  <c r="I10" i="2"/>
  <c r="AY12" i="2"/>
  <c r="H12" i="2"/>
  <c r="AE12" i="2"/>
  <c r="AF12" i="2"/>
  <c r="AI3" i="2"/>
  <c r="P13" i="2"/>
  <c r="AW12" i="2"/>
  <c r="BH13" i="2"/>
  <c r="BM6" i="2"/>
  <c r="Z7" i="2"/>
  <c r="S7" i="2"/>
  <c r="AP9" i="2"/>
  <c r="K13" i="2"/>
  <c r="X4" i="2"/>
  <c r="AA3" i="2"/>
  <c r="AD11" i="2"/>
  <c r="G12" i="2"/>
  <c r="R6" i="2"/>
  <c r="AN6" i="2"/>
  <c r="J11" i="2"/>
  <c r="AP6" i="2"/>
  <c r="L11" i="2"/>
  <c r="P15" i="2"/>
  <c r="AR6" i="2"/>
  <c r="BF9" i="2"/>
  <c r="AN3" i="2"/>
  <c r="AO4" i="2"/>
  <c r="J9" i="2"/>
  <c r="AP12" i="2"/>
  <c r="AK6" i="2"/>
  <c r="AM8" i="2"/>
  <c r="AZ11" i="2"/>
  <c r="AW7" i="2"/>
  <c r="AS9" i="2"/>
  <c r="N5" i="2"/>
  <c r="AL3" i="2"/>
  <c r="L3" i="2"/>
  <c r="AX11" i="2"/>
  <c r="V8" i="2"/>
  <c r="S5" i="2"/>
  <c r="P14" i="2"/>
  <c r="AG13" i="2"/>
  <c r="AA8" i="2"/>
  <c r="AC4" i="2"/>
  <c r="AN13" i="2"/>
  <c r="AM9" i="2"/>
  <c r="AJ5" i="2"/>
  <c r="U12" i="2"/>
  <c r="V12" i="2"/>
  <c r="AF11" i="2"/>
  <c r="AX5" i="2"/>
  <c r="BF12" i="2"/>
  <c r="BD13" i="2"/>
  <c r="Z8" i="2"/>
  <c r="S15" i="2"/>
  <c r="AX6" i="2"/>
  <c r="S11" i="2"/>
  <c r="AM15" i="2"/>
  <c r="K7" i="2"/>
  <c r="Y11" i="2"/>
  <c r="AS15" i="2"/>
  <c r="L7" i="2"/>
  <c r="AP11" i="2"/>
  <c r="BJ15" i="2"/>
  <c r="M7" i="2"/>
  <c r="AQ11" i="2"/>
  <c r="BK15" i="2"/>
  <c r="AD7" i="2"/>
  <c r="AR11" i="2"/>
  <c r="AV15" i="2"/>
  <c r="O7" i="2"/>
  <c r="AS11" i="2"/>
  <c r="BM15" i="2"/>
  <c r="AY3" i="2"/>
  <c r="AF4" i="2"/>
  <c r="BE15" i="2"/>
  <c r="N4" i="2"/>
  <c r="AL14" i="2"/>
  <c r="F12" i="2"/>
  <c r="BI6" i="2"/>
  <c r="Y4" i="2"/>
  <c r="M10" i="2"/>
  <c r="AJ12" i="2"/>
  <c r="BG13" i="2"/>
  <c r="AX14" i="2"/>
  <c r="AJ10" i="2"/>
  <c r="Y6" i="2"/>
  <c r="N15" i="2"/>
  <c r="BB10" i="2"/>
  <c r="AQ6" i="2"/>
  <c r="BC10" i="2"/>
  <c r="AB6" i="2"/>
  <c r="BD10" i="2"/>
  <c r="AB15" i="2"/>
  <c r="AW6" i="2"/>
  <c r="AJ3" i="2"/>
  <c r="T7" i="2"/>
  <c r="X7" i="2"/>
  <c r="AV4" i="2"/>
  <c r="BJ4" i="2"/>
  <c r="W14" i="2"/>
  <c r="G15" i="2"/>
  <c r="AO6" i="2"/>
  <c r="K11" i="2"/>
  <c r="AG15" i="2"/>
  <c r="Q5" i="2"/>
  <c r="AW13" i="2"/>
  <c r="AH5" i="2"/>
  <c r="P10" i="2"/>
  <c r="N14" i="2"/>
  <c r="AD14" i="2"/>
  <c r="AN9" i="2"/>
  <c r="X13" i="2"/>
  <c r="AQ8" i="2"/>
  <c r="BF10" i="2"/>
  <c r="G6" i="2"/>
  <c r="AE4" i="2"/>
  <c r="AP3" i="2"/>
  <c r="AC12" i="2"/>
  <c r="BB8" i="2"/>
  <c r="AY5" i="2"/>
  <c r="BB14" i="2"/>
  <c r="Q14" i="2"/>
  <c r="BG8" i="2"/>
  <c r="BG4" i="2"/>
  <c r="V14" i="2"/>
  <c r="O10" i="2"/>
  <c r="BL5" i="2"/>
  <c r="AR12" i="2"/>
  <c r="AS12" i="2"/>
  <c r="BC11" i="2"/>
  <c r="P6" i="2"/>
  <c r="AA13" i="2"/>
  <c r="T14" i="2"/>
  <c r="BA8" i="2"/>
  <c r="AP15" i="2"/>
  <c r="U7" i="2"/>
  <c r="AI11" i="2"/>
  <c r="BC15" i="2"/>
  <c r="AA7" i="2"/>
  <c r="AO11" i="2"/>
  <c r="BI15" i="2"/>
  <c r="AB7" i="2"/>
  <c r="BF11" i="2"/>
  <c r="Q3" i="2"/>
  <c r="AC7" i="2"/>
  <c r="BG11" i="2"/>
  <c r="R3" i="2"/>
  <c r="AT7" i="2"/>
  <c r="BH11" i="2"/>
  <c r="BL15" i="2"/>
  <c r="AE7" i="2"/>
  <c r="BI11" i="2"/>
  <c r="BB6" i="2"/>
  <c r="BA6" i="2"/>
  <c r="AO9" i="2"/>
  <c r="BH7" i="2"/>
  <c r="AH12" i="2"/>
  <c r="BK13" i="2"/>
  <c r="BD11" i="2"/>
  <c r="AM14" i="2"/>
  <c r="AU10" i="2"/>
  <c r="BL13" i="2"/>
  <c r="AL15" i="2"/>
  <c r="H8" i="2"/>
  <c r="N8" i="2"/>
  <c r="AU12" i="2"/>
  <c r="AG8" i="2"/>
  <c r="O6" i="2"/>
  <c r="L9" i="2"/>
  <c r="AO8" i="2"/>
  <c r="AM7" i="2"/>
  <c r="BC9" i="2"/>
  <c r="BB3" i="2"/>
  <c r="W7" i="2"/>
  <c r="BI10" i="2"/>
  <c r="AM4" i="2"/>
  <c r="BK5" i="2"/>
  <c r="Q15" i="2"/>
  <c r="BE9" i="2"/>
  <c r="Q10" i="2"/>
  <c r="J5" i="2"/>
  <c r="U15" i="2"/>
  <c r="AZ12" i="2"/>
  <c r="M12" i="2"/>
  <c r="AE11" i="2"/>
  <c r="BG12" i="2"/>
  <c r="AT10" i="2"/>
  <c r="AZ10" i="2"/>
  <c r="AD15" i="2"/>
  <c r="AE15" i="2"/>
  <c r="M11" i="2"/>
  <c r="BM10" i="2"/>
  <c r="G7" i="2"/>
  <c r="AG6" i="2"/>
  <c r="R11" i="2"/>
  <c r="BB15" i="2"/>
  <c r="H3" i="2"/>
  <c r="AF10" i="2"/>
  <c r="AV14" i="2"/>
  <c r="AR9" i="2"/>
  <c r="BJ11" i="2"/>
  <c r="AY8" i="2"/>
  <c r="P5" i="2"/>
  <c r="J4" i="2"/>
  <c r="Q13" i="2"/>
  <c r="AB9" i="2"/>
  <c r="V6" i="2"/>
  <c r="AN15" i="2"/>
  <c r="BK14" i="2"/>
  <c r="AE9" i="2"/>
  <c r="AB5" i="2"/>
  <c r="BM14" i="2"/>
  <c r="AY10" i="2"/>
  <c r="AD6" i="2"/>
  <c r="N13" i="2"/>
  <c r="O13" i="2"/>
  <c r="W12" i="2"/>
  <c r="AM6" i="2"/>
  <c r="AX13" i="2"/>
  <c r="AU14" i="2"/>
  <c r="N9" i="2"/>
  <c r="I3" i="2"/>
  <c r="AK7" i="2"/>
  <c r="AY11" i="2"/>
  <c r="O3" i="2"/>
  <c r="AQ7" i="2"/>
  <c r="BE11" i="2"/>
  <c r="P3" i="2"/>
  <c r="AR7" i="2"/>
  <c r="O12" i="2"/>
  <c r="AG3" i="2"/>
  <c r="AS7" i="2"/>
  <c r="P12" i="2"/>
  <c r="AH3" i="2"/>
  <c r="BJ7" i="2"/>
  <c r="Q12" i="2"/>
  <c r="S3" i="2"/>
  <c r="AU7" i="2"/>
  <c r="R12" i="2"/>
  <c r="AQ3" i="2"/>
  <c r="G3" i="2"/>
  <c r="BB9" i="2"/>
  <c r="BJ9" i="2"/>
  <c r="BH5" i="2"/>
  <c r="S14" i="2"/>
  <c r="AF3" i="2"/>
  <c r="AG12" i="2"/>
  <c r="AO13" i="2"/>
  <c r="AF7" i="2"/>
  <c r="AE3" i="2"/>
  <c r="AW3" i="2"/>
  <c r="AX3" i="2"/>
  <c r="L8" i="2"/>
  <c r="AJ8" i="2"/>
  <c r="K5" i="2"/>
  <c r="X3" i="2"/>
  <c r="R7" i="2"/>
  <c r="BL9" i="2"/>
  <c r="AD12" i="2"/>
  <c r="BM3" i="2"/>
  <c r="U4" i="2"/>
  <c r="F7" i="2"/>
  <c r="AG5" i="2"/>
  <c r="R10" i="2"/>
  <c r="S10" i="2"/>
  <c r="I15" i="2"/>
  <c r="BD9" i="2"/>
  <c r="V15" i="2"/>
  <c r="AZ7" i="2"/>
  <c r="Z4" i="2"/>
  <c r="BJ6" i="2"/>
  <c r="BE12" i="2"/>
  <c r="AF14" i="2"/>
  <c r="AQ13" i="2"/>
  <c r="J15" i="2"/>
  <c r="AC10" i="2"/>
  <c r="X8" i="2"/>
  <c r="BK3" i="2"/>
  <c r="AT12" i="2"/>
  <c r="BK12" i="2"/>
  <c r="AF8" i="2"/>
  <c r="AK4" i="2"/>
  <c r="V4" i="2"/>
  <c r="F3" i="2"/>
  <c r="S6" i="2"/>
  <c r="AI15" i="2"/>
  <c r="AT6" i="2"/>
  <c r="AW14" i="2"/>
  <c r="T12" i="2"/>
  <c r="M6" i="2"/>
  <c r="BL11" i="2"/>
  <c r="W6" i="2"/>
  <c r="K12" i="2"/>
  <c r="BI3" i="2"/>
  <c r="G8" i="2"/>
  <c r="AG14" i="2"/>
  <c r="AR8" i="2"/>
  <c r="BC3" i="2"/>
  <c r="L4" i="2"/>
  <c r="BD12" i="2"/>
  <c r="AT8" i="2"/>
  <c r="S4" i="2"/>
  <c r="T13" i="2"/>
  <c r="AV8" i="2"/>
  <c r="BA4" i="2"/>
  <c r="F13" i="2"/>
  <c r="AX8" i="2"/>
  <c r="W13" i="2"/>
  <c r="F5" i="2"/>
  <c r="AA12" i="2"/>
  <c r="P7" i="2"/>
  <c r="AL12" i="2"/>
  <c r="AZ3" i="2"/>
  <c r="BI12" i="2"/>
  <c r="V9" i="2"/>
  <c r="Z9" i="2"/>
  <c r="AT5" i="2"/>
  <c r="M3" i="2"/>
  <c r="AK11" i="2"/>
  <c r="AT13" i="2"/>
  <c r="Y12" i="2"/>
  <c r="AS6" i="2"/>
  <c r="BA3" i="2"/>
  <c r="AQ12" i="2"/>
  <c r="BC8" i="2"/>
  <c r="BC6" i="2"/>
  <c r="BF3" i="2"/>
  <c r="BB12" i="2"/>
  <c r="BE7" i="2"/>
  <c r="AD4" i="2"/>
  <c r="AC14" i="2"/>
  <c r="AI8" i="2"/>
  <c r="X15" i="2"/>
  <c r="BI14" i="2"/>
  <c r="AI14" i="2"/>
  <c r="I9" i="2"/>
  <c r="BH15" i="2"/>
  <c r="P4" i="2"/>
  <c r="U11" i="2"/>
  <c r="AB4" i="2"/>
  <c r="BD8" i="2"/>
  <c r="M13" i="2"/>
  <c r="AH4" i="2"/>
  <c r="BJ8" i="2"/>
  <c r="S13" i="2"/>
  <c r="AI4" i="2"/>
  <c r="BK8" i="2"/>
  <c r="AJ13" i="2"/>
  <c r="AZ4" i="2"/>
  <c r="BL8" i="2"/>
  <c r="AK13" i="2"/>
  <c r="H5" i="2"/>
  <c r="T9" i="2"/>
  <c r="V13" i="2"/>
  <c r="BB4" i="2"/>
  <c r="U9" i="2"/>
  <c r="AM13" i="2"/>
  <c r="F11" i="2"/>
  <c r="AO12" i="2"/>
  <c r="BH12" i="2"/>
  <c r="BF13" i="2"/>
  <c r="AP13" i="2"/>
  <c r="Y3" i="2"/>
  <c r="Q8" i="2"/>
  <c r="G11" i="2"/>
  <c r="H9" i="2"/>
  <c r="AS14" i="2"/>
  <c r="Y13" i="2"/>
  <c r="BK11" i="2"/>
  <c r="AQ5" i="2"/>
  <c r="V11" i="2"/>
  <c r="T5" i="2"/>
  <c r="AG11" i="2"/>
  <c r="AC3" i="2"/>
  <c r="AO7" i="2"/>
  <c r="F14" i="2"/>
  <c r="U8" i="2"/>
  <c r="AB3" i="2"/>
  <c r="BE3" i="2"/>
  <c r="AN12" i="2"/>
  <c r="AD8" i="2"/>
  <c r="BL3" i="2"/>
  <c r="AE8" i="2"/>
  <c r="T4" i="2"/>
  <c r="BL12" i="2"/>
  <c r="AW8" i="2"/>
  <c r="BM12" i="2"/>
  <c r="AH8" i="2"/>
  <c r="Z12" i="2"/>
  <c r="O11" i="2"/>
  <c r="AS5" i="2"/>
  <c r="AU6" i="2"/>
  <c r="G4" i="2"/>
  <c r="AU4" i="2"/>
  <c r="BH10" i="2"/>
  <c r="V3" i="2"/>
  <c r="W8" i="2"/>
  <c r="Z3" i="2"/>
  <c r="Y7" i="2"/>
  <c r="AR13" i="2"/>
  <c r="BC14" i="2"/>
  <c r="G14" i="2"/>
  <c r="AK15" i="2"/>
  <c r="BE10" i="2"/>
  <c r="AN8" i="2"/>
  <c r="R4" i="2"/>
  <c r="BJ12" i="2"/>
  <c r="AU8" i="2"/>
  <c r="AJ4" i="2"/>
  <c r="U13" i="2"/>
  <c r="BM8" i="2"/>
  <c r="AL4" i="2"/>
  <c r="F4" i="2"/>
  <c r="AV13" i="2"/>
  <c r="J8" i="2"/>
  <c r="BJ13" i="2"/>
  <c r="AT4" i="2"/>
  <c r="K3" i="2"/>
  <c r="AJ14" i="2"/>
  <c r="T3" i="2"/>
  <c r="AT11" i="2"/>
  <c r="H4" i="2"/>
  <c r="BD15" i="2"/>
  <c r="L15" i="2"/>
  <c r="AU13" i="2"/>
  <c r="H7" i="2"/>
  <c r="W4" i="2"/>
  <c r="AD13" i="2"/>
  <c r="AC9" i="2"/>
  <c r="BB7" i="2"/>
  <c r="AA4" i="2"/>
  <c r="AH13" i="2"/>
  <c r="AB8" i="2"/>
  <c r="BI4" i="2"/>
  <c r="H15" i="2"/>
  <c r="BF8" i="2"/>
  <c r="AY15" i="2"/>
  <c r="Y15" i="2"/>
  <c r="BJ14" i="2"/>
  <c r="AF9" i="2"/>
  <c r="Z10" i="2"/>
  <c r="AQ4" i="2"/>
  <c r="AV11" i="2"/>
  <c r="AR4" i="2"/>
  <c r="K9" i="2"/>
  <c r="AC13" i="2"/>
  <c r="AX4" i="2"/>
  <c r="Q9" i="2"/>
  <c r="AI13" i="2"/>
  <c r="AY4" i="2"/>
  <c r="R9" i="2"/>
  <c r="AZ13" i="2"/>
  <c r="G5" i="2"/>
  <c r="S9" i="2"/>
  <c r="BA13" i="2"/>
  <c r="X5" i="2"/>
  <c r="AJ9" i="2"/>
  <c r="AL13" i="2"/>
  <c r="I5" i="2"/>
  <c r="AK9" i="2"/>
  <c r="BC13" i="2"/>
  <c r="AW11" i="2"/>
  <c r="N6" i="2"/>
  <c r="BD3" i="2"/>
  <c r="AJ11" i="2"/>
  <c r="K15" i="2"/>
  <c r="BG7" i="2"/>
  <c r="BI7" i="2"/>
  <c r="BK7" i="2"/>
  <c r="O9" i="2"/>
  <c r="AZ14" i="2"/>
  <c r="AQ10" i="2"/>
  <c r="AE6" i="2"/>
  <c r="BM13" i="2"/>
  <c r="X12" i="2"/>
  <c r="O8" i="2"/>
  <c r="AV12" i="2"/>
  <c r="M14" i="2"/>
  <c r="F6" i="2"/>
  <c r="T15" i="2"/>
  <c r="G9" i="2"/>
  <c r="AH15" i="2"/>
  <c r="AP5" i="2"/>
  <c r="AA10" i="2"/>
  <c r="AE10" i="2"/>
  <c r="M4" i="2"/>
  <c r="AL8" i="2"/>
  <c r="AV5" i="2"/>
  <c r="AE14" i="2"/>
  <c r="BJ3" i="2"/>
  <c r="R15" i="2"/>
  <c r="AN7" i="2"/>
  <c r="BC4" i="2"/>
  <c r="O14" i="2"/>
  <c r="BK9" i="2"/>
  <c r="Y8" i="2"/>
  <c r="BF4" i="2"/>
  <c r="U14" i="2"/>
  <c r="BI8" i="2"/>
  <c r="AC5" i="2"/>
  <c r="AX15" i="2"/>
  <c r="W9" i="2"/>
  <c r="X9" i="2"/>
  <c r="AZ15" i="2"/>
  <c r="Z15" i="2"/>
  <c r="BH9" i="2"/>
  <c r="AW10" i="2"/>
  <c r="AF5" i="2"/>
  <c r="L12" i="2"/>
  <c r="BH4" i="2"/>
  <c r="AA9" i="2"/>
  <c r="AS13" i="2"/>
  <c r="U5" i="2"/>
  <c r="AG9" i="2"/>
  <c r="AY13" i="2"/>
  <c r="V5" i="2"/>
  <c r="AH9" i="2"/>
  <c r="I14" i="2"/>
  <c r="W5" i="2"/>
  <c r="AI9" i="2"/>
  <c r="J14" i="2"/>
  <c r="AN5" i="2"/>
  <c r="AZ9" i="2"/>
  <c r="BB13" i="2"/>
  <c r="Y5" i="2"/>
  <c r="BA9" i="2"/>
  <c r="L14" i="2"/>
  <c r="F10" i="2"/>
  <c r="J7" i="2"/>
  <c r="BI9" i="2"/>
  <c r="AS3" i="2"/>
  <c r="AJ6" i="2"/>
  <c r="BF15" i="2"/>
  <c r="N3" i="2"/>
  <c r="BM5" i="2"/>
  <c r="AU11" i="2"/>
  <c r="AD3" i="2"/>
  <c r="AL7" i="2"/>
  <c r="T8" i="2"/>
  <c r="AB12" i="2"/>
  <c r="K8" i="2"/>
  <c r="R5" i="2"/>
  <c r="BA14" i="2"/>
  <c r="AR10" i="2"/>
  <c r="BE8" i="2"/>
  <c r="Z5" i="2"/>
  <c r="BL14" i="2"/>
  <c r="AL9" i="2"/>
  <c r="BI5" i="2"/>
  <c r="J3" i="2"/>
  <c r="AT9" i="2"/>
  <c r="AU9" i="2"/>
  <c r="BH8" i="2"/>
  <c r="BA15" i="2"/>
  <c r="Y10" i="2"/>
  <c r="Q11" i="2"/>
  <c r="BG5" i="2"/>
  <c r="AM12" i="2"/>
  <c r="O5" i="2"/>
  <c r="AQ9" i="2"/>
  <c r="BI13" i="2"/>
  <c r="AK5" i="2"/>
  <c r="AW9" i="2"/>
  <c r="H14" i="2"/>
  <c r="AL5" i="2"/>
  <c r="AX9" i="2"/>
  <c r="Y14" i="2"/>
  <c r="AM5" i="2"/>
  <c r="AY9" i="2"/>
  <c r="Z14" i="2"/>
  <c r="BD5" i="2"/>
  <c r="G10" i="2"/>
  <c r="K14" i="2"/>
  <c r="AO5" i="2"/>
  <c r="H10" i="2"/>
  <c r="AB14" i="2"/>
  <c r="Z13" i="2"/>
  <c r="AO15" i="2"/>
  <c r="BA7" i="2"/>
  <c r="AN4" i="2"/>
  <c r="R13" i="2"/>
  <c r="AZ8" i="2"/>
  <c r="BE4" i="2"/>
  <c r="S12" i="2"/>
  <c r="BC7" i="2"/>
  <c r="AO3" i="2"/>
  <c r="AV3" i="2"/>
  <c r="P8" i="2"/>
  <c r="AX12" i="2"/>
  <c r="H13" i="2"/>
  <c r="G13" i="2"/>
  <c r="F8" i="2"/>
  <c r="AM3" i="2"/>
  <c r="N11" i="2"/>
  <c r="AS4" i="2"/>
  <c r="AG7" i="2"/>
  <c r="AH7" i="2"/>
  <c r="I4" i="2"/>
  <c r="AY6" i="2"/>
  <c r="AK14" i="2"/>
  <c r="O4" i="2"/>
  <c r="AK8" i="2"/>
  <c r="AI7" i="2"/>
  <c r="L13" i="2"/>
  <c r="AP8" i="2"/>
  <c r="AW5" i="2"/>
  <c r="AJ15" i="2"/>
  <c r="W11" i="2"/>
  <c r="AD9" i="2"/>
  <c r="BF5" i="2"/>
  <c r="AQ15" i="2"/>
  <c r="J10" i="2"/>
  <c r="AF6" i="2"/>
  <c r="AK3" i="2"/>
  <c r="K10" i="2"/>
  <c r="L10" i="2"/>
  <c r="Y9" i="2"/>
  <c r="AT3" i="2"/>
  <c r="AV10" i="2"/>
  <c r="AN11" i="2"/>
  <c r="U6" i="2"/>
  <c r="I13" i="2"/>
  <c r="AE5" i="2"/>
  <c r="BG9" i="2"/>
  <c r="R14" i="2"/>
  <c r="BA5" i="2"/>
  <c r="BM9" i="2"/>
  <c r="X14" i="2"/>
  <c r="BB5" i="2"/>
  <c r="U10" i="2"/>
  <c r="AO14" i="2"/>
  <c r="BC5" i="2"/>
  <c r="V10" i="2"/>
  <c r="AP14" i="2"/>
  <c r="K6" i="2"/>
  <c r="W10" i="2"/>
  <c r="AA14" i="2"/>
  <c r="BE5" i="2"/>
  <c r="X10" i="2"/>
  <c r="AR14" i="2"/>
  <c r="F9" i="2"/>
  <c r="I8" i="2"/>
  <c r="AK12" i="2"/>
  <c r="AI5" i="2"/>
  <c r="S8" i="2"/>
  <c r="AL6" i="2"/>
  <c r="BM4" i="2"/>
  <c r="AV7" i="2"/>
  <c r="U3" i="2"/>
  <c r="L5" i="2"/>
  <c r="BL4" i="2"/>
  <c r="AL11" i="2"/>
  <c r="BE13" i="2"/>
  <c r="M9" i="2"/>
  <c r="T6" i="2"/>
  <c r="W3" i="2"/>
  <c r="BM11" i="2"/>
  <c r="AS10" i="2"/>
  <c r="AC6" i="2"/>
  <c r="AZ5" i="2"/>
  <c r="AX10" i="2"/>
  <c r="BK6" i="2"/>
  <c r="BH3" i="2"/>
  <c r="AH10" i="2"/>
  <c r="AI10" i="2"/>
  <c r="AV9" i="2"/>
  <c r="K4" i="2"/>
  <c r="P11" i="2"/>
  <c r="I12" i="2"/>
  <c r="AV6" i="2"/>
  <c r="AF13" i="2"/>
  <c r="AU5" i="2"/>
  <c r="N10" i="2"/>
  <c r="AH14" i="2"/>
  <c r="H6" i="2"/>
  <c r="T10" i="2"/>
  <c r="AN14" i="2"/>
  <c r="I6" i="2"/>
  <c r="AK10" i="2"/>
  <c r="BE14" i="2"/>
  <c r="J6" i="2"/>
  <c r="AL10" i="2"/>
  <c r="BF14" i="2"/>
  <c r="AA6" i="2"/>
  <c r="AM10" i="2"/>
  <c r="AQ14" i="2"/>
  <c r="L6" i="2"/>
  <c r="AN10" i="2"/>
  <c r="BH14" i="2"/>
</calcChain>
</file>

<file path=xl/sharedStrings.xml><?xml version="1.0" encoding="utf-8"?>
<sst xmlns="http://schemas.openxmlformats.org/spreadsheetml/2006/main" count="29" uniqueCount="28">
  <si>
    <t>**IMPORTANT NOTE**</t>
  </si>
  <si>
    <t>This document, the information contained herein and any derived information created therefrom are for the exclusive use of VALENTIN ROUTIER at SWISS LIFE ASSET MANAGERS FRANCE.</t>
  </si>
  <si>
    <t>~~~~~~~~~~~~~~~~~~~~~~~~~~~~~~~~~~~~~~~~~~~~~~~~~~~~~~~~~~~~~~~~~~~~~~~~~~~~~~~~~~~~~~~~~~~~~~~~~~~~~~~~~~~~~~~~~~~~~~~~~~~~~~~~~~~~~~~~~~~~~~~~~~~~~~~~~~~~~~~~</t>
  </si>
  <si>
    <t>**REFERENCE**</t>
  </si>
  <si>
    <t xml:space="preserve">     Spreadsheets generated from the BI Excel export can be used as reference tables to fuel various models and other sheets on your desktop.</t>
  </si>
  <si>
    <t xml:space="preserve">     Automated model building or 'drag and drop' from the BI export sheet are not supported at this time, but using the BI export</t>
  </si>
  <si>
    <t xml:space="preserve">     as a reference table for use in other spreadsheets is a powerful and convenient tool to help achieve your goals.</t>
  </si>
  <si>
    <t xml:space="preserve">   --The BI Excel export sheet typically contains two data tabs (certain BI modules like those in the 'Monitor' section on BI will only result in a single 'Sheet 1' data tab):</t>
  </si>
  <si>
    <t xml:space="preserve">     1) 'BIData':  This is the fully curated grid that is meant to be a clean, simple, synchronized match to what is seen on the BI dashboard. </t>
  </si>
  <si>
    <t xml:space="preserve">          The grid on the 'BIData' tab can be used as a reference table for use in your models and other downstream spreadsheets.</t>
  </si>
  <si>
    <t xml:space="preserve">     2) 'ReferenceData':  This is the tab where all the raw data is housed and data preparation is done.  There are typically 2 separate grids here:</t>
  </si>
  <si>
    <t xml:space="preserve">          a top curated grid that includes error handling, expressions, etc., and a bottom raw grid that includes any/all live API information for this export. </t>
  </si>
  <si>
    <t xml:space="preserve">          The bottom grid on the ReferenceData tab is where actual API (BDP/BDH) expressions are constructed, so refer to this section if you</t>
  </si>
  <si>
    <t xml:space="preserve">          are interested in seeing/using the underlying API details.</t>
  </si>
  <si>
    <t xml:space="preserve">          Note: In some cases the bottom grid will not exist (in the event that none of the data selected is coming from live API links).</t>
  </si>
  <si>
    <t xml:space="preserve">   --In any grid on either tab, there are common columns:</t>
  </si>
  <si>
    <t xml:space="preserve">     1) Description:  The row label that matches the row label you'd find on BI</t>
  </si>
  <si>
    <t xml:space="preserve">     2) Ticker:  The company/index ticker corresponding to that row (this is the ticker used in the </t>
  </si>
  <si>
    <t xml:space="preserve">          BDP/BDH formula for that row, if applicable)</t>
  </si>
  <si>
    <t xml:space="preserve">     3) Field ID:  The calcrout ID used to structure the BDP/BDH formula for that row (where applicable).</t>
  </si>
  <si>
    <t xml:space="preserve">     4) Field Mnemonic:  The calcrout mnemonic corresponding to the field ID used to structure the BDP/BDH formula for that row (where applicable).</t>
  </si>
  <si>
    <t xml:space="preserve">     5) Data State:  The state of the data within that particular row, including 'Dynamic', 'Static', 'Sum', 'Average', 'Median' or 'Heading'.  If 'Dynamic'</t>
  </si>
  <si>
    <t xml:space="preserve">          then new data will be expected to come to the sheet when it becomes available in the database with no need for another export.</t>
  </si>
  <si>
    <t xml:space="preserve">          If 'Static' then there are no live links in this row and new data will only be procured by running and exporting from BI again.</t>
  </si>
  <si>
    <t xml:space="preserve">          If it's 'Sum', 'Average', 'Median' or 'Expression', then new data may come to the sheet for some expression components, but</t>
  </si>
  <si>
    <t xml:space="preserve">          to ensure the latest data is present in the sheet, BI should be run and exported again.</t>
  </si>
  <si>
    <t>**HELP**</t>
  </si>
  <si>
    <t xml:space="preserve">     If you experience any issues with the BI Excel export process or results, run the BI&lt;GO&gt; function on your Bloomberg terminal, and then hit the &lt;HELP&gt; key twice.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</si>
</sst>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blp_column_header" xfId="26" xr:uid="{00000000-0005-0000-0000-000019000000}"/>
    <cellStyle name="Calcul" xfId="27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Neutre" xfId="37" builtinId="28" customBuiltin="1"/>
    <cellStyle name="Normal" xfId="0" builtinId="0"/>
    <cellStyle name="Note" xfId="38" builtinId="10" customBuiltin="1"/>
    <cellStyle name="Satisfaisant" xfId="30" builtinId="26" customBuiltin="1"/>
    <cellStyle name="Sortie" xfId="39" builtinId="21" customBuiltin="1"/>
    <cellStyle name="Texte explicatif" xfId="29" builtinId="53" customBuiltin="1"/>
    <cellStyle name="Titre" xfId="40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1" builtinId="25" customBuiltin="1"/>
    <cellStyle name="Vérificatio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BDH|17370495914169565095</stp>
        <tr r="F38" s="3"/>
      </tp>
    </main>
    <main first="bofaddin.rtdserver">
      <tp t="b">
        <v>0</v>
        <stp/>
        <stp>BDH|11005801063590186757</stp>
        <tr r="F44" s="3"/>
      </tp>
    </main>
    <main first="bofaddin.rtdserver">
      <tp t="b">
        <v>0</v>
        <stp/>
        <stp>BDH|13203377520439620280</stp>
        <tr r="F41" s="3"/>
      </tp>
      <tp t="b">
        <v>0</v>
        <stp/>
        <stp>BDH|12893833631510523034</stp>
        <tr r="F37" s="3"/>
      </tp>
    </main>
    <main first="bofaddin.rtdserver">
      <tp t="b">
        <v>0</v>
        <stp/>
        <stp>BDH|10659077915947551840</stp>
        <tr r="C68" s="3"/>
        <tr r="C60" s="3"/>
      </tp>
    </main>
    <main first="bofaddin.rtdserver">
      <tp t="b">
        <v>0</v>
        <stp/>
        <stp>BDH|14975182170079652464</stp>
        <tr r="F36" s="3"/>
      </tp>
    </main>
    <main first="bofaddin.rtdserver">
      <tp t="b">
        <v>0</v>
        <stp/>
        <stp>BDH|16795073055168238434</stp>
        <tr r="F42" s="3"/>
      </tp>
    </main>
    <main first="bofaddin.rtdserver">
      <tp t="b">
        <v>0</v>
        <stp/>
        <stp>BDH|12200468446164308511</stp>
        <tr r="F33" s="3"/>
      </tp>
    </main>
    <main first="bloomberg.ccyreader">
      <tp t="b">
        <v>0</v>
        <stp/>
        <stp>#track</stp>
        <stp>DBG</stp>
        <stp>BIHITX</stp>
        <stp>1.0</stp>
        <stp>RepeatHit</stp>
        <tr r="A25" s="3"/>
      </tp>
    </main>
    <main first="bofaddin.rtdserver">
      <tp t="b">
        <v>0</v>
        <stp/>
        <stp>BDH|2799164597010899453</stp>
        <tr r="F43" s="3"/>
      </tp>
    </main>
    <main first="bofaddin.rtdserver">
      <tp t="b">
        <v>0</v>
        <stp/>
        <stp>BDH|6659486168577939505</stp>
        <tr r="F34" s="3"/>
      </tp>
    </main>
    <main first="bofaddin.rtdserver">
      <tp t="b">
        <v>0</v>
        <stp/>
        <stp>BDH|4477486113217247644</stp>
        <tr r="F35" s="3"/>
      </tp>
    </main>
    <main first="bofaddin.rtdserver">
      <tp t="b">
        <v>0</v>
        <stp/>
        <stp>BDH|5782494501903584314</stp>
        <tr r="F45" s="3"/>
      </tp>
      <tp t="b">
        <v>0</v>
        <stp/>
        <stp>BDH|5769211848195789781</stp>
        <tr r="F40" s="3"/>
      </tp>
    </main>
    <main first="bofaddin.rtdserver">
      <tp t="b">
        <v>0</v>
        <stp/>
        <stp>BDH|1983541505211393751</stp>
        <tr r="F39" s="3"/>
      </tp>
    </main>
    <main first="bofaddin.rtdserver">
      <tp t="b">
        <v>0</v>
        <stp/>
        <stp>BDH|4999581167627423216</stp>
        <tr r="C70" s="3"/>
        <tr r="C62" s="3"/>
      </tp>
    </main>
    <main first="bofaddin.rtdserver">
      <tp t="b">
        <v>0</v>
        <stp/>
        <stp>BDH|7030351524192514723</stp>
        <tr r="C66" s="3"/>
        <tr r="C58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5"/>
  <sheetViews>
    <sheetView tabSelected="1" workbookViewId="0">
      <selection activeCell="L26" sqref="L26"/>
    </sheetView>
  </sheetViews>
  <sheetFormatPr baseColWidth="10" defaultRowHeight="15" x14ac:dyDescent="0.25"/>
  <cols>
    <col min="1" max="1" width="56.28515625" customWidth="1"/>
    <col min="2" max="2" width="15.85546875" customWidth="1"/>
    <col min="3" max="65" width="9.140625" bestFit="1" customWidth="1"/>
  </cols>
  <sheetData>
    <row r="1" spans="1:6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25">
      <c r="A2" t="str">
        <f>IFERROR(IF(0=LEN(ReferenceData!$A$2),"",ReferenceData!$A$2),"")</f>
        <v>Description</v>
      </c>
      <c r="B2" t="str">
        <f>IFERROR(IF(0=LEN(ReferenceData!$B$2),"",ReferenceData!$B$2),"")</f>
        <v>Ticker</v>
      </c>
      <c r="C2" t="str">
        <f>IFERROR(IF(0=LEN(ReferenceData!$C$2),"",ReferenceData!$C$2),"")</f>
        <v>Field ID</v>
      </c>
      <c r="D2" t="str">
        <f>IFERROR(IF(0=LEN(ReferenceData!$D$2),"",ReferenceData!$D$2),"")</f>
        <v>Field Mnemonic</v>
      </c>
      <c r="E2" t="str">
        <f>IFERROR(IF(0=LEN(ReferenceData!$E$2),"",ReferenceData!$E$2),"")</f>
        <v>Data State</v>
      </c>
      <c r="F2" t="str">
        <f>IFERROR(IF(0=LEN(ReferenceData!$F$2),"",ReferenceData!$F$2),"")</f>
        <v>2025 Q2</v>
      </c>
      <c r="G2" t="str">
        <f>IFERROR(IF(0=LEN(ReferenceData!$G$2),"",ReferenceData!$G$2),"")</f>
        <v>2025 Q1</v>
      </c>
      <c r="H2" t="str">
        <f>IFERROR(IF(0=LEN(ReferenceData!$H$2),"",ReferenceData!$H$2),"")</f>
        <v>2024 Q4</v>
      </c>
      <c r="I2" t="str">
        <f>IFERROR(IF(0=LEN(ReferenceData!$I$2),"",ReferenceData!$I$2),"")</f>
        <v>2024 Q3</v>
      </c>
      <c r="J2" t="str">
        <f>IFERROR(IF(0=LEN(ReferenceData!$J$2),"",ReferenceData!$J$2),"")</f>
        <v>2024 Q2</v>
      </c>
      <c r="K2" t="str">
        <f>IFERROR(IF(0=LEN(ReferenceData!$K$2),"",ReferenceData!$K$2),"")</f>
        <v>2024 Q1</v>
      </c>
      <c r="L2" t="str">
        <f>IFERROR(IF(0=LEN(ReferenceData!$L$2),"",ReferenceData!$L$2),"")</f>
        <v>2023 Q4</v>
      </c>
      <c r="M2" t="str">
        <f>IFERROR(IF(0=LEN(ReferenceData!$M$2),"",ReferenceData!$M$2),"")</f>
        <v>2023 Q3</v>
      </c>
      <c r="N2" t="str">
        <f>IFERROR(IF(0=LEN(ReferenceData!$N$2),"",ReferenceData!$N$2),"")</f>
        <v>2023 Q2</v>
      </c>
      <c r="O2" t="str">
        <f>IFERROR(IF(0=LEN(ReferenceData!$O$2),"",ReferenceData!$O$2),"")</f>
        <v>2023 Q1</v>
      </c>
      <c r="P2" t="str">
        <f>IFERROR(IF(0=LEN(ReferenceData!$P$2),"",ReferenceData!$P$2),"")</f>
        <v>2022 Q4</v>
      </c>
      <c r="Q2" t="str">
        <f>IFERROR(IF(0=LEN(ReferenceData!$Q$2),"",ReferenceData!$Q$2),"")</f>
        <v>2022 Q3</v>
      </c>
      <c r="R2" t="str">
        <f>IFERROR(IF(0=LEN(ReferenceData!$R$2),"",ReferenceData!$R$2),"")</f>
        <v>2022 Q2</v>
      </c>
      <c r="S2" t="str">
        <f>IFERROR(IF(0=LEN(ReferenceData!$S$2),"",ReferenceData!$S$2),"")</f>
        <v>2022 Q1</v>
      </c>
      <c r="T2" t="str">
        <f>IFERROR(IF(0=LEN(ReferenceData!$T$2),"",ReferenceData!$T$2),"")</f>
        <v>2021 Q4</v>
      </c>
      <c r="U2" t="str">
        <f>IFERROR(IF(0=LEN(ReferenceData!$U$2),"",ReferenceData!$U$2),"")</f>
        <v>2021 Q3</v>
      </c>
      <c r="V2" t="str">
        <f>IFERROR(IF(0=LEN(ReferenceData!$V$2),"",ReferenceData!$V$2),"")</f>
        <v>2021 Q2</v>
      </c>
      <c r="W2" t="str">
        <f>IFERROR(IF(0=LEN(ReferenceData!$W$2),"",ReferenceData!$W$2),"")</f>
        <v>2021 Q1</v>
      </c>
      <c r="X2" t="str">
        <f>IFERROR(IF(0=LEN(ReferenceData!$X$2),"",ReferenceData!$X$2),"")</f>
        <v>2020 Q4</v>
      </c>
      <c r="Y2" t="str">
        <f>IFERROR(IF(0=LEN(ReferenceData!$Y$2),"",ReferenceData!$Y$2),"")</f>
        <v>2020 Q3</v>
      </c>
      <c r="Z2" t="str">
        <f>IFERROR(IF(0=LEN(ReferenceData!$Z$2),"",ReferenceData!$Z$2),"")</f>
        <v>2020 Q2</v>
      </c>
      <c r="AA2" t="str">
        <f>IFERROR(IF(0=LEN(ReferenceData!$AA$2),"",ReferenceData!$AA$2),"")</f>
        <v>2020 Q1</v>
      </c>
      <c r="AB2" t="str">
        <f>IFERROR(IF(0=LEN(ReferenceData!$AB$2),"",ReferenceData!$AB$2),"")</f>
        <v>2019 Q4</v>
      </c>
      <c r="AC2" t="str">
        <f>IFERROR(IF(0=LEN(ReferenceData!$AC$2),"",ReferenceData!$AC$2),"")</f>
        <v>2019 Q3</v>
      </c>
      <c r="AD2" t="str">
        <f>IFERROR(IF(0=LEN(ReferenceData!$AD$2),"",ReferenceData!$AD$2),"")</f>
        <v>2019 Q2</v>
      </c>
      <c r="AE2" t="str">
        <f>IFERROR(IF(0=LEN(ReferenceData!$AE$2),"",ReferenceData!$AE$2),"")</f>
        <v>2019 Q1</v>
      </c>
      <c r="AF2" t="str">
        <f>IFERROR(IF(0=LEN(ReferenceData!$AF$2),"",ReferenceData!$AF$2),"")</f>
        <v>2018 Q4</v>
      </c>
      <c r="AG2" t="str">
        <f>IFERROR(IF(0=LEN(ReferenceData!$AG$2),"",ReferenceData!$AG$2),"")</f>
        <v>2018 Q3</v>
      </c>
      <c r="AH2" t="str">
        <f>IFERROR(IF(0=LEN(ReferenceData!$AH$2),"",ReferenceData!$AH$2),"")</f>
        <v>2018 Q2</v>
      </c>
      <c r="AI2" t="str">
        <f>IFERROR(IF(0=LEN(ReferenceData!$AI$2),"",ReferenceData!$AI$2),"")</f>
        <v>2018 Q1</v>
      </c>
      <c r="AJ2" t="str">
        <f>IFERROR(IF(0=LEN(ReferenceData!$AJ$2),"",ReferenceData!$AJ$2),"")</f>
        <v>2017 Q4</v>
      </c>
      <c r="AK2" t="str">
        <f>IFERROR(IF(0=LEN(ReferenceData!$AK$2),"",ReferenceData!$AK$2),"")</f>
        <v>2017 Q3</v>
      </c>
      <c r="AL2" t="str">
        <f>IFERROR(IF(0=LEN(ReferenceData!$AL$2),"",ReferenceData!$AL$2),"")</f>
        <v>2017 Q2</v>
      </c>
      <c r="AM2" t="str">
        <f>IFERROR(IF(0=LEN(ReferenceData!$AM$2),"",ReferenceData!$AM$2),"")</f>
        <v>2017 Q1</v>
      </c>
      <c r="AN2" t="str">
        <f>IFERROR(IF(0=LEN(ReferenceData!$AN$2),"",ReferenceData!$AN$2),"")</f>
        <v>2016 Q4</v>
      </c>
      <c r="AO2" t="str">
        <f>IFERROR(IF(0=LEN(ReferenceData!$AO$2),"",ReferenceData!$AO$2),"")</f>
        <v>2016 Q3</v>
      </c>
      <c r="AP2" t="str">
        <f>IFERROR(IF(0=LEN(ReferenceData!$AP$2),"",ReferenceData!$AP$2),"")</f>
        <v>2016 Q2</v>
      </c>
      <c r="AQ2" t="str">
        <f>IFERROR(IF(0=LEN(ReferenceData!$AQ$2),"",ReferenceData!$AQ$2),"")</f>
        <v>2016 Q1</v>
      </c>
      <c r="AR2" t="str">
        <f>IFERROR(IF(0=LEN(ReferenceData!$AR$2),"",ReferenceData!$AR$2),"")</f>
        <v>2015 Q4</v>
      </c>
      <c r="AS2" t="str">
        <f>IFERROR(IF(0=LEN(ReferenceData!$AS$2),"",ReferenceData!$AS$2),"")</f>
        <v>2015 Q3</v>
      </c>
      <c r="AT2" t="str">
        <f>IFERROR(IF(0=LEN(ReferenceData!$AT$2),"",ReferenceData!$AT$2),"")</f>
        <v>2015 Q2</v>
      </c>
      <c r="AU2" t="str">
        <f>IFERROR(IF(0=LEN(ReferenceData!$AU$2),"",ReferenceData!$AU$2),"")</f>
        <v>2015 Q1</v>
      </c>
      <c r="AV2" t="str">
        <f>IFERROR(IF(0=LEN(ReferenceData!$AV$2),"",ReferenceData!$AV$2),"")</f>
        <v>2014 Q4</v>
      </c>
      <c r="AW2" t="str">
        <f>IFERROR(IF(0=LEN(ReferenceData!$AW$2),"",ReferenceData!$AW$2),"")</f>
        <v>2014 Q3</v>
      </c>
      <c r="AX2" t="str">
        <f>IFERROR(IF(0=LEN(ReferenceData!$AX$2),"",ReferenceData!$AX$2),"")</f>
        <v>2014 Q2</v>
      </c>
      <c r="AY2" t="str">
        <f>IFERROR(IF(0=LEN(ReferenceData!$AY$2),"",ReferenceData!$AY$2),"")</f>
        <v>2014 Q1</v>
      </c>
      <c r="AZ2" t="str">
        <f>IFERROR(IF(0=LEN(ReferenceData!$AZ$2),"",ReferenceData!$AZ$2),"")</f>
        <v>2013 Q4</v>
      </c>
      <c r="BA2" t="str">
        <f>IFERROR(IF(0=LEN(ReferenceData!$BA$2),"",ReferenceData!$BA$2),"")</f>
        <v>2013 Q3</v>
      </c>
      <c r="BB2" t="str">
        <f>IFERROR(IF(0=LEN(ReferenceData!$BB$2),"",ReferenceData!$BB$2),"")</f>
        <v>2013 Q2</v>
      </c>
      <c r="BC2" t="str">
        <f>IFERROR(IF(0=LEN(ReferenceData!$BC$2),"",ReferenceData!$BC$2),"")</f>
        <v>2013 Q1</v>
      </c>
      <c r="BD2" t="str">
        <f>IFERROR(IF(0=LEN(ReferenceData!$BD$2),"",ReferenceData!$BD$2),"")</f>
        <v>2012 Q4</v>
      </c>
      <c r="BE2" t="str">
        <f>IFERROR(IF(0=LEN(ReferenceData!$BE$2),"",ReferenceData!$BE$2),"")</f>
        <v>2012 Q3</v>
      </c>
      <c r="BF2" t="str">
        <f>IFERROR(IF(0=LEN(ReferenceData!$BF$2),"",ReferenceData!$BF$2),"")</f>
        <v>2012 Q2</v>
      </c>
      <c r="BG2" t="str">
        <f>IFERROR(IF(0=LEN(ReferenceData!$BG$2),"",ReferenceData!$BG$2),"")</f>
        <v>2012 Q1</v>
      </c>
      <c r="BH2" t="str">
        <f>IFERROR(IF(0=LEN(ReferenceData!$BH$2),"",ReferenceData!$BH$2),"")</f>
        <v>2011 Q4</v>
      </c>
      <c r="BI2" t="str">
        <f>IFERROR(IF(0=LEN(ReferenceData!$BI$2),"",ReferenceData!$BI$2),"")</f>
        <v>2011 Q3</v>
      </c>
      <c r="BJ2" t="str">
        <f>IFERROR(IF(0=LEN(ReferenceData!$BJ$2),"",ReferenceData!$BJ$2),"")</f>
        <v>2011 Q2</v>
      </c>
      <c r="BK2" t="str">
        <f>IFERROR(IF(0=LEN(ReferenceData!$BK$2),"",ReferenceData!$BK$2),"")</f>
        <v>2011 Q1</v>
      </c>
      <c r="BL2" t="str">
        <f>IFERROR(IF(0=LEN(ReferenceData!$BL$2),"",ReferenceData!$BL$2),"")</f>
        <v>2010 Q4</v>
      </c>
      <c r="BM2" t="str">
        <f>IFERROR(IF(0=LEN(ReferenceData!$BM$2),"",ReferenceData!$BM$2),"")</f>
        <v>2010 Q3</v>
      </c>
    </row>
    <row r="3" spans="1:65" x14ac:dyDescent="0.25">
      <c r="A3" t="str">
        <f>IFERROR(IF(0=LEN(ReferenceData!$A$3),"",ReferenceData!$A$3),"")</f>
        <v>North America (Bil.) - US (USD)</v>
      </c>
      <c r="B3" t="str">
        <f>IFERROR(IF(0=LEN(ReferenceData!$B$3),"",ReferenceData!$B$3),"")</f>
        <v>GDP CUR$ Index</v>
      </c>
      <c r="C3" t="str">
        <f>IFERROR(IF(0=LEN(ReferenceData!$C$3),"",ReferenceData!$C$3),"")</f>
        <v>PR005</v>
      </c>
      <c r="D3" t="str">
        <f>IFERROR(IF(0=LEN(ReferenceData!$D$3),"",ReferenceData!$D$3),"")</f>
        <v>PX_LAST</v>
      </c>
      <c r="E3" t="str">
        <f>IFERROR(IF(0=LEN(ReferenceData!$E$3),"",ReferenceData!$E$3),"")</f>
        <v>Dynamic</v>
      </c>
      <c r="F3">
        <f ca="1">IFERROR(IF(0=LEN(ReferenceData!$F$3),"",ReferenceData!$F$3),"")</f>
        <v>30331.116999999998</v>
      </c>
      <c r="G3">
        <f ca="1">IFERROR(IF(0=LEN(ReferenceData!$G$3),"",ReferenceData!$G$3),"")</f>
        <v>29962.046999999999</v>
      </c>
      <c r="H3">
        <f ca="1">IFERROR(IF(0=LEN(ReferenceData!$H$3),"",ReferenceData!$H$3),"")</f>
        <v>29723.864000000001</v>
      </c>
      <c r="I3">
        <f ca="1">IFERROR(IF(0=LEN(ReferenceData!$I$3),"",ReferenceData!$I$3),"")</f>
        <v>29374.914000000001</v>
      </c>
      <c r="J3">
        <f ca="1">IFERROR(IF(0=LEN(ReferenceData!$J$3),"",ReferenceData!$J$3),"")</f>
        <v>29016.714</v>
      </c>
      <c r="K3">
        <f ca="1">IFERROR(IF(0=LEN(ReferenceData!$K$3),"",ReferenceData!$K$3),"")</f>
        <v>28624.069</v>
      </c>
      <c r="L3">
        <f ca="1">IFERROR(IF(0=LEN(ReferenceData!$L$3),"",ReferenceData!$L$3),"")</f>
        <v>28296.967000000001</v>
      </c>
      <c r="M3">
        <f ca="1">IFERROR(IF(0=LEN(ReferenceData!$M$3),"",ReferenceData!$M$3),"")</f>
        <v>27967.697</v>
      </c>
      <c r="N3">
        <f ca="1">IFERROR(IF(0=LEN(ReferenceData!$N$3),"",ReferenceData!$N$3),"")</f>
        <v>27453.814999999999</v>
      </c>
      <c r="O3">
        <f ca="1">IFERROR(IF(0=LEN(ReferenceData!$O$3),"",ReferenceData!$O$3),"")</f>
        <v>27164.359</v>
      </c>
      <c r="P3">
        <f ca="1">IFERROR(IF(0=LEN(ReferenceData!$P$3),"",ReferenceData!$P$3),"")</f>
        <v>26734.276999999998</v>
      </c>
      <c r="Q3">
        <f ca="1">IFERROR(IF(0=LEN(ReferenceData!$Q$3),"",ReferenceData!$Q$3),"")</f>
        <v>26272.010999999999</v>
      </c>
      <c r="R3">
        <f ca="1">IFERROR(IF(0=LEN(ReferenceData!$R$3),"",ReferenceData!$R$3),"")</f>
        <v>25805.791000000001</v>
      </c>
      <c r="S3">
        <f ca="1">IFERROR(IF(0=LEN(ReferenceData!$S$3),"",ReferenceData!$S$3),"")</f>
        <v>25215.491000000002</v>
      </c>
      <c r="T3">
        <f ca="1">IFERROR(IF(0=LEN(ReferenceData!$T$3),"",ReferenceData!$T$3),"")</f>
        <v>24777.038</v>
      </c>
      <c r="U3">
        <f ca="1">IFERROR(IF(0=LEN(ReferenceData!$U$3),"",ReferenceData!$U$3),"")</f>
        <v>23921.991000000002</v>
      </c>
      <c r="V3">
        <f ca="1">IFERROR(IF(0=LEN(ReferenceData!$V$3),"",ReferenceData!$V$3),"")</f>
        <v>23368.861000000001</v>
      </c>
      <c r="W3">
        <f ca="1">IFERROR(IF(0=LEN(ReferenceData!$W$3),"",ReferenceData!$W$3),"")</f>
        <v>22656.793000000001</v>
      </c>
      <c r="X3">
        <f ca="1">IFERROR(IF(0=LEN(ReferenceData!$X$3),"",ReferenceData!$X$3),"")</f>
        <v>22068.767</v>
      </c>
      <c r="Y3">
        <f ca="1">IFERROR(IF(0=LEN(ReferenceData!$Y$3),"",ReferenceData!$Y$3),"")</f>
        <v>21684.550999999999</v>
      </c>
      <c r="Z3">
        <f ca="1">IFERROR(IF(0=LEN(ReferenceData!$Z$3),"",ReferenceData!$Z$3),"")</f>
        <v>19935.444</v>
      </c>
      <c r="AA3">
        <f ca="1">IFERROR(IF(0=LEN(ReferenceData!$AA$3),"",ReferenceData!$AA$3),"")</f>
        <v>21727.656999999999</v>
      </c>
      <c r="AB3">
        <f ca="1">IFERROR(IF(0=LEN(ReferenceData!$AB$3),"",ReferenceData!$AB$3),"")</f>
        <v>21933.217000000001</v>
      </c>
      <c r="AC3">
        <f ca="1">IFERROR(IF(0=LEN(ReferenceData!$AC$3),"",ReferenceData!$AC$3),"")</f>
        <v>21717.170999999998</v>
      </c>
      <c r="AD3">
        <f ca="1">IFERROR(IF(0=LEN(ReferenceData!$AD$3),"",ReferenceData!$AD$3),"")</f>
        <v>21397.937999999998</v>
      </c>
      <c r="AE3">
        <f ca="1">IFERROR(IF(0=LEN(ReferenceData!$AE$3),"",ReferenceData!$AE$3),"")</f>
        <v>21111.599999999999</v>
      </c>
      <c r="AF3">
        <f ca="1">IFERROR(IF(0=LEN(ReferenceData!$AF$3),"",ReferenceData!$AF$3),"")</f>
        <v>20917.866999999998</v>
      </c>
      <c r="AG3">
        <f ca="1">IFERROR(IF(0=LEN(ReferenceData!$AG$3),"",ReferenceData!$AG$3),"")</f>
        <v>20798.73</v>
      </c>
      <c r="AH3">
        <f ca="1">IFERROR(IF(0=LEN(ReferenceData!$AH$3),"",ReferenceData!$AH$3),"")</f>
        <v>20580.912</v>
      </c>
      <c r="AI3">
        <f ca="1">IFERROR(IF(0=LEN(ReferenceData!$AI$3),"",ReferenceData!$AI$3),"")</f>
        <v>20328.553</v>
      </c>
      <c r="AJ3">
        <f ca="1">IFERROR(IF(0=LEN(ReferenceData!$AJ$3),"",ReferenceData!$AJ$3),"")</f>
        <v>20037.088</v>
      </c>
      <c r="AK3">
        <f ca="1">IFERROR(IF(0=LEN(ReferenceData!$AK$3),"",ReferenceData!$AK$3),"")</f>
        <v>19692.595000000001</v>
      </c>
      <c r="AL3">
        <f ca="1">IFERROR(IF(0=LEN(ReferenceData!$AL$3),"",ReferenceData!$AL$3),"")</f>
        <v>19438.643</v>
      </c>
      <c r="AM3">
        <f ca="1">IFERROR(IF(0=LEN(ReferenceData!$AM$3),"",ReferenceData!$AM$3),"")</f>
        <v>19280.083999999999</v>
      </c>
      <c r="AN3">
        <f ca="1">IFERROR(IF(0=LEN(ReferenceData!$AN$3),"",ReferenceData!$AN$3),"")</f>
        <v>19089.379000000001</v>
      </c>
      <c r="AO3">
        <f ca="1">IFERROR(IF(0=LEN(ReferenceData!$AO$3),"",ReferenceData!$AO$3),"")</f>
        <v>18892.638999999999</v>
      </c>
      <c r="AP3">
        <f ca="1">IFERROR(IF(0=LEN(ReferenceData!$AP$3),"",ReferenceData!$AP$3),"")</f>
        <v>18711.702000000001</v>
      </c>
      <c r="AQ3">
        <f ca="1">IFERROR(IF(0=LEN(ReferenceData!$AQ$3),"",ReferenceData!$AQ$3),"")</f>
        <v>18525.933000000001</v>
      </c>
      <c r="AR3">
        <f ca="1">IFERROR(IF(0=LEN(ReferenceData!$AR$3),"",ReferenceData!$AR$3),"")</f>
        <v>18435.136999999999</v>
      </c>
      <c r="AS3">
        <f ca="1">IFERROR(IF(0=LEN(ReferenceData!$AS$3),"",ReferenceData!$AS$3),"")</f>
        <v>18401.626</v>
      </c>
      <c r="AT3">
        <f ca="1">IFERROR(IF(0=LEN(ReferenceData!$AT$3),"",ReferenceData!$AT$3),"")</f>
        <v>18279.784</v>
      </c>
      <c r="AU3">
        <f ca="1">IFERROR(IF(0=LEN(ReferenceData!$AU$3),"",ReferenceData!$AU$3),"")</f>
        <v>18063.528999999999</v>
      </c>
      <c r="AV3">
        <f ca="1">IFERROR(IF(0=LEN(ReferenceData!$AV$3),"",ReferenceData!$AV$3),"")</f>
        <v>17912.079000000002</v>
      </c>
      <c r="AW3">
        <f ca="1">IFERROR(IF(0=LEN(ReferenceData!$AW$3),"",ReferenceData!$AW$3),"")</f>
        <v>17804.227999999999</v>
      </c>
      <c r="AX3">
        <f ca="1">IFERROR(IF(0=LEN(ReferenceData!$AX$3),"",ReferenceData!$AX$3),"")</f>
        <v>17518.508000000002</v>
      </c>
      <c r="AY3">
        <f ca="1">IFERROR(IF(0=LEN(ReferenceData!$AY$3),"",ReferenceData!$AY$3),"")</f>
        <v>17197.738000000001</v>
      </c>
      <c r="AZ3">
        <f ca="1">IFERROR(IF(0=LEN(ReferenceData!$AZ$3),"",ReferenceData!$AZ$3),"")</f>
        <v>17192.019</v>
      </c>
      <c r="BA3">
        <f ca="1">IFERROR(IF(0=LEN(ReferenceData!$BA$3),"",ReferenceData!$BA$3),"")</f>
        <v>16953.838</v>
      </c>
      <c r="BB3">
        <f ca="1">IFERROR(IF(0=LEN(ReferenceData!$BB$3),"",ReferenceData!$BB$3),"")</f>
        <v>16728.687000000002</v>
      </c>
      <c r="BC3">
        <f ca="1">IFERROR(IF(0=LEN(ReferenceData!$BC$3),"",ReferenceData!$BC$3),"")</f>
        <v>16648.188999999998</v>
      </c>
      <c r="BD3">
        <f ca="1">IFERROR(IF(0=LEN(ReferenceData!$BD$3),"",ReferenceData!$BD$3),"")</f>
        <v>16420.419000000002</v>
      </c>
      <c r="BE3">
        <f ca="1">IFERROR(IF(0=LEN(ReferenceData!$BE$3),"",ReferenceData!$BE$3),"")</f>
        <v>16319.54</v>
      </c>
      <c r="BF3">
        <f ca="1">IFERROR(IF(0=LEN(ReferenceData!$BF$3),"",ReferenceData!$BF$3),"")</f>
        <v>16207.115</v>
      </c>
      <c r="BG3">
        <f ca="1">IFERROR(IF(0=LEN(ReferenceData!$BG$3),"",ReferenceData!$BG$3),"")</f>
        <v>16068.805</v>
      </c>
      <c r="BH3">
        <f ca="1">IFERROR(IF(0=LEN(ReferenceData!$BH$3),"",ReferenceData!$BH$3),"")</f>
        <v>15842.259</v>
      </c>
      <c r="BI3">
        <f ca="1">IFERROR(IF(0=LEN(ReferenceData!$BI$3),"",ReferenceData!$BI$3),"")</f>
        <v>15647.681</v>
      </c>
      <c r="BJ3">
        <f ca="1">IFERROR(IF(0=LEN(ReferenceData!$BJ$3),"",ReferenceData!$BJ$3),"")</f>
        <v>15557.539000000001</v>
      </c>
      <c r="BK3">
        <f ca="1">IFERROR(IF(0=LEN(ReferenceData!$BK$3),"",ReferenceData!$BK$3),"")</f>
        <v>15351.448</v>
      </c>
      <c r="BL3">
        <f ca="1">IFERROR(IF(0=LEN(ReferenceData!$BL$3),"",ReferenceData!$BL$3),"")</f>
        <v>15309.474</v>
      </c>
      <c r="BM3">
        <f ca="1">IFERROR(IF(0=LEN(ReferenceData!$BM$3),"",ReferenceData!$BM$3),"")</f>
        <v>15141.607</v>
      </c>
    </row>
    <row r="4" spans="1:65" x14ac:dyDescent="0.25">
      <c r="A4" t="str">
        <f>IFERROR(IF(0=LEN(ReferenceData!$A$4),"",ReferenceData!$A$4),"")</f>
        <v xml:space="preserve">        Personal Consumption Expenditures</v>
      </c>
      <c r="B4" t="str">
        <f>IFERROR(IF(0=LEN(ReferenceData!$B$4),"",ReferenceData!$B$4),"")</f>
        <v>GDP$PCE Index</v>
      </c>
      <c r="C4" t="str">
        <f>IFERROR(IF(0=LEN(ReferenceData!$C$4),"",ReferenceData!$C$4),"")</f>
        <v>PR005</v>
      </c>
      <c r="D4" t="str">
        <f>IFERROR(IF(0=LEN(ReferenceData!$D$4),"",ReferenceData!$D$4),"")</f>
        <v>PX_LAST</v>
      </c>
      <c r="E4" t="str">
        <f>IFERROR(IF(0=LEN(ReferenceData!$E$4),"",ReferenceData!$E$4),"")</f>
        <v>Dynamic</v>
      </c>
      <c r="F4">
        <f ca="1">IFERROR(IF(0=LEN(ReferenceData!$F$4),"",ReferenceData!$F$4),"")</f>
        <v>20640.878000000001</v>
      </c>
      <c r="G4">
        <f ca="1">IFERROR(IF(0=LEN(ReferenceData!$G$4),"",ReferenceData!$G$4),"")</f>
        <v>20461.601999999999</v>
      </c>
      <c r="H4">
        <f ca="1">IFERROR(IF(0=LEN(ReferenceData!$H$4),"",ReferenceData!$H$4),"")</f>
        <v>20255.455000000002</v>
      </c>
      <c r="I4">
        <f ca="1">IFERROR(IF(0=LEN(ReferenceData!$I$4),"",ReferenceData!$I$4),"")</f>
        <v>19938.424999999999</v>
      </c>
      <c r="J4">
        <f ca="1">IFERROR(IF(0=LEN(ReferenceData!$J$4),"",ReferenceData!$J$4),"")</f>
        <v>19682.699000000001</v>
      </c>
      <c r="K4">
        <f ca="1">IFERROR(IF(0=LEN(ReferenceData!$K$4),"",ReferenceData!$K$4),"")</f>
        <v>19424.775000000001</v>
      </c>
      <c r="L4">
        <f ca="1">IFERROR(IF(0=LEN(ReferenceData!$L$4),"",ReferenceData!$L$4),"")</f>
        <v>19170.153999999999</v>
      </c>
      <c r="M4">
        <f ca="1">IFERROR(IF(0=LEN(ReferenceData!$M$4),"",ReferenceData!$M$4),"")</f>
        <v>18928.987000000001</v>
      </c>
      <c r="N4">
        <f ca="1">IFERROR(IF(0=LEN(ReferenceData!$N$4),"",ReferenceData!$N$4),"")</f>
        <v>18685.723999999998</v>
      </c>
      <c r="O4">
        <f ca="1">IFERROR(IF(0=LEN(ReferenceData!$O$4),"",ReferenceData!$O$4),"")</f>
        <v>18506.210999999999</v>
      </c>
      <c r="P4">
        <f ca="1">IFERROR(IF(0=LEN(ReferenceData!$P$4),"",ReferenceData!$P$4),"")</f>
        <v>18108.27</v>
      </c>
      <c r="Q4">
        <f ca="1">IFERROR(IF(0=LEN(ReferenceData!$Q$4),"",ReferenceData!$Q$4),"")</f>
        <v>17876.234</v>
      </c>
      <c r="R4">
        <f ca="1">IFERROR(IF(0=LEN(ReferenceData!$R$4),"",ReferenceData!$R$4),"")</f>
        <v>17603.753000000001</v>
      </c>
      <c r="S4">
        <f ca="1">IFERROR(IF(0=LEN(ReferenceData!$S$4),"",ReferenceData!$S$4),"")</f>
        <v>17175.105</v>
      </c>
      <c r="T4">
        <f ca="1">IFERROR(IF(0=LEN(ReferenceData!$T$4),"",ReferenceData!$T$4),"")</f>
        <v>16816.132000000001</v>
      </c>
      <c r="U4">
        <f ca="1">IFERROR(IF(0=LEN(ReferenceData!$U$4),"",ReferenceData!$U$4),"")</f>
        <v>16363.876</v>
      </c>
      <c r="V4">
        <f ca="1">IFERROR(IF(0=LEN(ReferenceData!$V$4),"",ReferenceData!$V$4),"")</f>
        <v>16016.346</v>
      </c>
      <c r="W4">
        <f ca="1">IFERROR(IF(0=LEN(ReferenceData!$W$4),"",ReferenceData!$W$4),"")</f>
        <v>15259.427</v>
      </c>
      <c r="X4">
        <f ca="1">IFERROR(IF(0=LEN(ReferenceData!$X$4),"",ReferenceData!$X$4),"")</f>
        <v>14752.732</v>
      </c>
      <c r="Y4">
        <f ca="1">IFERROR(IF(0=LEN(ReferenceData!$Y$4),"",ReferenceData!$Y$4),"")</f>
        <v>14478.032999999999</v>
      </c>
      <c r="Z4">
        <f ca="1">IFERROR(IF(0=LEN(ReferenceData!$Z$4),"",ReferenceData!$Z$4),"")</f>
        <v>13175.637000000001</v>
      </c>
      <c r="AA4">
        <f ca="1">IFERROR(IF(0=LEN(ReferenceData!$AA$4),"",ReferenceData!$AA$4),"")</f>
        <v>14496.227000000001</v>
      </c>
      <c r="AB4">
        <f ca="1">IFERROR(IF(0=LEN(ReferenceData!$AB$4),"",ReferenceData!$AB$4),"")</f>
        <v>14701.038</v>
      </c>
      <c r="AC4">
        <f ca="1">IFERROR(IF(0=LEN(ReferenceData!$AC$4),"",ReferenceData!$AC$4),"")</f>
        <v>14548.281999999999</v>
      </c>
      <c r="AD4">
        <f ca="1">IFERROR(IF(0=LEN(ReferenceData!$AD$4),"",ReferenceData!$AD$4),"")</f>
        <v>14350.662</v>
      </c>
      <c r="AE4">
        <f ca="1">IFERROR(IF(0=LEN(ReferenceData!$AE$4),"",ReferenceData!$AE$4),"")</f>
        <v>14150.191000000001</v>
      </c>
      <c r="AF4">
        <f ca="1">IFERROR(IF(0=LEN(ReferenceData!$AF$4),"",ReferenceData!$AF$4),"")</f>
        <v>14099.199000000001</v>
      </c>
      <c r="AG4">
        <f ca="1">IFERROR(IF(0=LEN(ReferenceData!$AG$4),"",ReferenceData!$AG$4),"")</f>
        <v>14002.199000000001</v>
      </c>
      <c r="AH4">
        <f ca="1">IFERROR(IF(0=LEN(ReferenceData!$AH$4),"",ReferenceData!$AH$4),"")</f>
        <v>13891.294</v>
      </c>
      <c r="AI4">
        <f ca="1">IFERROR(IF(0=LEN(ReferenceData!$AI$4),"",ReferenceData!$AI$4),"")</f>
        <v>13745.074000000001</v>
      </c>
      <c r="AJ4">
        <f ca="1">IFERROR(IF(0=LEN(ReferenceData!$AJ$4),"",ReferenceData!$AJ$4),"")</f>
        <v>13551.401</v>
      </c>
      <c r="AK4">
        <f ca="1">IFERROR(IF(0=LEN(ReferenceData!$AK$4),"",ReferenceData!$AK$4),"")</f>
        <v>13325.065000000001</v>
      </c>
      <c r="AL4">
        <f ca="1">IFERROR(IF(0=LEN(ReferenceData!$AL$4),"",ReferenceData!$AL$4),"")</f>
        <v>13188.73</v>
      </c>
      <c r="AM4">
        <f ca="1">IFERROR(IF(0=LEN(ReferenceData!$AM$4),"",ReferenceData!$AM$4),"")</f>
        <v>13097.306</v>
      </c>
      <c r="AN4">
        <f ca="1">IFERROR(IF(0=LEN(ReferenceData!$AN$4),"",ReferenceData!$AN$4),"")</f>
        <v>12921.989</v>
      </c>
      <c r="AO4">
        <f ca="1">IFERROR(IF(0=LEN(ReferenceData!$AO$4),"",ReferenceData!$AO$4),"")</f>
        <v>12797.126</v>
      </c>
      <c r="AP4">
        <f ca="1">IFERROR(IF(0=LEN(ReferenceData!$AP$4),"",ReferenceData!$AP$4),"")</f>
        <v>12665.124</v>
      </c>
      <c r="AQ4">
        <f ca="1">IFERROR(IF(0=LEN(ReferenceData!$AQ$4),"",ReferenceData!$AQ$4),"")</f>
        <v>12523.156000000001</v>
      </c>
      <c r="AR4">
        <f ca="1">IFERROR(IF(0=LEN(ReferenceData!$AR$4),"",ReferenceData!$AR$4),"")</f>
        <v>12423.352999999999</v>
      </c>
      <c r="AS4">
        <f ca="1">IFERROR(IF(0=LEN(ReferenceData!$AS$4),"",ReferenceData!$AS$4),"")</f>
        <v>12382.494000000001</v>
      </c>
      <c r="AT4">
        <f ca="1">IFERROR(IF(0=LEN(ReferenceData!$AT$4),"",ReferenceData!$AT$4),"")</f>
        <v>12264.14</v>
      </c>
      <c r="AU4">
        <f ca="1">IFERROR(IF(0=LEN(ReferenceData!$AU$4),"",ReferenceData!$AU$4),"")</f>
        <v>12119.763000000001</v>
      </c>
      <c r="AV4">
        <f ca="1">IFERROR(IF(0=LEN(ReferenceData!$AV$4),"",ReferenceData!$AV$4),"")</f>
        <v>12081.561</v>
      </c>
      <c r="AW4">
        <f ca="1">IFERROR(IF(0=LEN(ReferenceData!$AW$4),"",ReferenceData!$AW$4),"")</f>
        <v>11959.79</v>
      </c>
      <c r="AX4">
        <f ca="1">IFERROR(IF(0=LEN(ReferenceData!$AX$4),"",ReferenceData!$AX$4),"")</f>
        <v>11810.450999999999</v>
      </c>
      <c r="AY4">
        <f ca="1">IFERROR(IF(0=LEN(ReferenceData!$AY$4),"",ReferenceData!$AY$4),"")</f>
        <v>11646.001</v>
      </c>
      <c r="AZ4">
        <f ca="1">IFERROR(IF(0=LEN(ReferenceData!$AZ$4),"",ReferenceData!$AZ$4),"")</f>
        <v>11551.228999999999</v>
      </c>
      <c r="BA4">
        <f ca="1">IFERROR(IF(0=LEN(ReferenceData!$BA$4),"",ReferenceData!$BA$4),"")</f>
        <v>11408.359</v>
      </c>
      <c r="BB4">
        <f ca="1">IFERROR(IF(0=LEN(ReferenceData!$BB$4),"",ReferenceData!$BB$4),"")</f>
        <v>11315.681</v>
      </c>
      <c r="BC4">
        <f ca="1">IFERROR(IF(0=LEN(ReferenceData!$BC$4),"",ReferenceData!$BC$4),"")</f>
        <v>11277.664000000001</v>
      </c>
      <c r="BD4">
        <f ca="1">IFERROR(IF(0=LEN(ReferenceData!$BD$4),"",ReferenceData!$BD$4),"")</f>
        <v>11165.703</v>
      </c>
      <c r="BE4">
        <f ca="1">IFERROR(IF(0=LEN(ReferenceData!$BE$4),"",ReferenceData!$BE$4),"")</f>
        <v>11059.393</v>
      </c>
      <c r="BF4">
        <f ca="1">IFERROR(IF(0=LEN(ReferenceData!$BF$4),"",ReferenceData!$BF$4),"")</f>
        <v>11005.055</v>
      </c>
      <c r="BG4">
        <f ca="1">IFERROR(IF(0=LEN(ReferenceData!$BG$4),"",ReferenceData!$BG$4),"")</f>
        <v>10959.300999999999</v>
      </c>
      <c r="BH4">
        <f ca="1">IFERROR(IF(0=LEN(ReferenceData!$BH$4),"",ReferenceData!$BH$4),"")</f>
        <v>10809.186</v>
      </c>
      <c r="BI4">
        <f ca="1">IFERROR(IF(0=LEN(ReferenceData!$BI$4),"",ReferenceData!$BI$4),"")</f>
        <v>10755.029</v>
      </c>
      <c r="BJ4">
        <f ca="1">IFERROR(IF(0=LEN(ReferenceData!$BJ$4),"",ReferenceData!$BJ$4),"")</f>
        <v>10673.018</v>
      </c>
      <c r="BK4">
        <f ca="1">IFERROR(IF(0=LEN(ReferenceData!$BK$4),"",ReferenceData!$BK$4),"")</f>
        <v>10558.195</v>
      </c>
      <c r="BL4">
        <f ca="1">IFERROR(IF(0=LEN(ReferenceData!$BL$4),"",ReferenceData!$BL$4),"")</f>
        <v>10430.304</v>
      </c>
      <c r="BM4">
        <f ca="1">IFERROR(IF(0=LEN(ReferenceData!$BM$4),"",ReferenceData!$BM$4),"")</f>
        <v>10300.754000000001</v>
      </c>
    </row>
    <row r="5" spans="1:65" x14ac:dyDescent="0.25">
      <c r="A5" t="str">
        <f>IFERROR(IF(0=LEN(ReferenceData!$A$5),"",ReferenceData!$A$5),"")</f>
        <v xml:space="preserve">        Fixed Investment</v>
      </c>
      <c r="B5" t="str">
        <f>IFERROR(IF(0=LEN(ReferenceData!$B$5),"",ReferenceData!$B$5),"")</f>
        <v>GPDIFXIN Index</v>
      </c>
      <c r="C5" t="str">
        <f>IFERROR(IF(0=LEN(ReferenceData!$C$5),"",ReferenceData!$C$5),"")</f>
        <v>PR005</v>
      </c>
      <c r="D5" t="str">
        <f>IFERROR(IF(0=LEN(ReferenceData!$D$5),"",ReferenceData!$D$5),"")</f>
        <v>PX_LAST</v>
      </c>
      <c r="E5" t="str">
        <f>IFERROR(IF(0=LEN(ReferenceData!$E$5),"",ReferenceData!$E$5),"")</f>
        <v>Dynamic</v>
      </c>
      <c r="F5">
        <f ca="1">IFERROR(IF(0=LEN(ReferenceData!$F$5),"",ReferenceData!$F$5),"")</f>
        <v>5402.683</v>
      </c>
      <c r="G5">
        <f ca="1">IFERROR(IF(0=LEN(ReferenceData!$G$5),"",ReferenceData!$G$5),"")</f>
        <v>5388.7290000000003</v>
      </c>
      <c r="H5">
        <f ca="1">IFERROR(IF(0=LEN(ReferenceData!$H$5),"",ReferenceData!$H$5),"")</f>
        <v>5275.1289999999999</v>
      </c>
      <c r="I5">
        <f ca="1">IFERROR(IF(0=LEN(ReferenceData!$I$5),"",ReferenceData!$I$5),"")</f>
        <v>5269.1949999999997</v>
      </c>
      <c r="J5">
        <f ca="1">IFERROR(IF(0=LEN(ReferenceData!$J$5),"",ReferenceData!$J$5),"")</f>
        <v>5201.0529999999999</v>
      </c>
      <c r="K5">
        <f ca="1">IFERROR(IF(0=LEN(ReferenceData!$K$5),"",ReferenceData!$K$5),"")</f>
        <v>5138.4989999999998</v>
      </c>
      <c r="L5">
        <f ca="1">IFERROR(IF(0=LEN(ReferenceData!$L$5),"",ReferenceData!$L$5),"")</f>
        <v>5046.1260000000002</v>
      </c>
      <c r="M5">
        <f ca="1">IFERROR(IF(0=LEN(ReferenceData!$M$5),"",ReferenceData!$M$5),"")</f>
        <v>4974.1629999999996</v>
      </c>
      <c r="N5">
        <f ca="1">IFERROR(IF(0=LEN(ReferenceData!$N$5),"",ReferenceData!$N$5),"")</f>
        <v>4925.6549999999997</v>
      </c>
      <c r="O5">
        <f ca="1">IFERROR(IF(0=LEN(ReferenceData!$O$5),"",ReferenceData!$O$5),"")</f>
        <v>4826.317</v>
      </c>
      <c r="P5">
        <f ca="1">IFERROR(IF(0=LEN(ReferenceData!$P$5),"",ReferenceData!$P$5),"")</f>
        <v>4749.0420000000004</v>
      </c>
      <c r="Q5">
        <f ca="1">IFERROR(IF(0=LEN(ReferenceData!$Q$5),"",ReferenceData!$Q$5),"")</f>
        <v>4727.8029999999999</v>
      </c>
      <c r="R5">
        <f ca="1">IFERROR(IF(0=LEN(ReferenceData!$R$5),"",ReferenceData!$R$5),"")</f>
        <v>4669.5709999999999</v>
      </c>
      <c r="S5">
        <f ca="1">IFERROR(IF(0=LEN(ReferenceData!$S$5),"",ReferenceData!$S$5),"")</f>
        <v>4539.8829999999998</v>
      </c>
      <c r="T5">
        <f ca="1">IFERROR(IF(0=LEN(ReferenceData!$T$5),"",ReferenceData!$T$5),"")</f>
        <v>4346.3900000000003</v>
      </c>
      <c r="U5">
        <f ca="1">IFERROR(IF(0=LEN(ReferenceData!$U$5),"",ReferenceData!$U$5),"")</f>
        <v>4231.018</v>
      </c>
      <c r="V5">
        <f ca="1">IFERROR(IF(0=LEN(ReferenceData!$V$5),"",ReferenceData!$V$5),"")</f>
        <v>4182.192</v>
      </c>
      <c r="W5">
        <f ca="1">IFERROR(IF(0=LEN(ReferenceData!$W$5),"",ReferenceData!$W$5),"")</f>
        <v>4086.7170000000001</v>
      </c>
      <c r="X5">
        <f ca="1">IFERROR(IF(0=LEN(ReferenceData!$X$5),"",ReferenceData!$X$5),"")</f>
        <v>3968.2939999999999</v>
      </c>
      <c r="Y5">
        <f ca="1">IFERROR(IF(0=LEN(ReferenceData!$Y$5),"",ReferenceData!$Y$5),"")</f>
        <v>3802.3719999999998</v>
      </c>
      <c r="Z5">
        <f ca="1">IFERROR(IF(0=LEN(ReferenceData!$Z$5),"",ReferenceData!$Z$5),"")</f>
        <v>3552.634</v>
      </c>
      <c r="AA5">
        <f ca="1">IFERROR(IF(0=LEN(ReferenceData!$AA$5),"",ReferenceData!$AA$5),"")</f>
        <v>3841.0360000000001</v>
      </c>
      <c r="AB5">
        <f ca="1">IFERROR(IF(0=LEN(ReferenceData!$AB$5),"",ReferenceData!$AB$5),"")</f>
        <v>3857.1149999999998</v>
      </c>
      <c r="AC5">
        <f ca="1">IFERROR(IF(0=LEN(ReferenceData!$AC$5),"",ReferenceData!$AC$5),"")</f>
        <v>3869.3649999999998</v>
      </c>
      <c r="AD5">
        <f ca="1">IFERROR(IF(0=LEN(ReferenceData!$AD$5),"",ReferenceData!$AD$5),"")</f>
        <v>3820.7890000000002</v>
      </c>
      <c r="AE5">
        <f ca="1">IFERROR(IF(0=LEN(ReferenceData!$AE$5),"",ReferenceData!$AE$5),"")</f>
        <v>3735.8449999999998</v>
      </c>
      <c r="AF5">
        <f ca="1">IFERROR(IF(0=LEN(ReferenceData!$AF$5),"",ReferenceData!$AF$5),"")</f>
        <v>3706.7040000000002</v>
      </c>
      <c r="AG5">
        <f ca="1">IFERROR(IF(0=LEN(ReferenceData!$AG$5),"",ReferenceData!$AG$5),"")</f>
        <v>3690.0279999999998</v>
      </c>
      <c r="AH5">
        <f ca="1">IFERROR(IF(0=LEN(ReferenceData!$AH$5),"",ReferenceData!$AH$5),"")</f>
        <v>3666.1289999999999</v>
      </c>
      <c r="AI5">
        <f ca="1">IFERROR(IF(0=LEN(ReferenceData!$AI$5),"",ReferenceData!$AI$5),"")</f>
        <v>3610.5889999999999</v>
      </c>
      <c r="AJ5">
        <f ca="1">IFERROR(IF(0=LEN(ReferenceData!$AJ$5),"",ReferenceData!$AJ$5),"")</f>
        <v>3530.4479999999999</v>
      </c>
      <c r="AK5">
        <f ca="1">IFERROR(IF(0=LEN(ReferenceData!$AK$5),"",ReferenceData!$AK$5),"")</f>
        <v>3445.2829999999999</v>
      </c>
      <c r="AL5">
        <f ca="1">IFERROR(IF(0=LEN(ReferenceData!$AL$5),"",ReferenceData!$AL$5),"")</f>
        <v>3407.44</v>
      </c>
      <c r="AM5">
        <f ca="1">IFERROR(IF(0=LEN(ReferenceData!$AM$5),"",ReferenceData!$AM$5),"")</f>
        <v>3356.7910000000002</v>
      </c>
      <c r="AN5">
        <f ca="1">IFERROR(IF(0=LEN(ReferenceData!$AN$5),"",ReferenceData!$AN$5),"")</f>
        <v>3302.8049999999998</v>
      </c>
      <c r="AO5">
        <f ca="1">IFERROR(IF(0=LEN(ReferenceData!$AO$5),"",ReferenceData!$AO$5),"")</f>
        <v>3256.2469999999998</v>
      </c>
      <c r="AP5">
        <f ca="1">IFERROR(IF(0=LEN(ReferenceData!$AP$5),"",ReferenceData!$AP$5),"")</f>
        <v>3215.8969999999999</v>
      </c>
      <c r="AQ5">
        <f ca="1">IFERROR(IF(0=LEN(ReferenceData!$AQ$5),"",ReferenceData!$AQ$5),"")</f>
        <v>3181.9989999999998</v>
      </c>
      <c r="AR5">
        <f ca="1">IFERROR(IF(0=LEN(ReferenceData!$AR$5),"",ReferenceData!$AR$5),"")</f>
        <v>3169.7289999999998</v>
      </c>
      <c r="AS5">
        <f ca="1">IFERROR(IF(0=LEN(ReferenceData!$AS$5),"",ReferenceData!$AS$5),"")</f>
        <v>3176.8090000000002</v>
      </c>
      <c r="AT5">
        <f ca="1">IFERROR(IF(0=LEN(ReferenceData!$AT$5),"",ReferenceData!$AT$5),"")</f>
        <v>3139.8560000000002</v>
      </c>
      <c r="AU5">
        <f ca="1">IFERROR(IF(0=LEN(ReferenceData!$AU$5),"",ReferenceData!$AU$5),"")</f>
        <v>3107.0410000000002</v>
      </c>
      <c r="AV5">
        <f ca="1">IFERROR(IF(0=LEN(ReferenceData!$AV$5),"",ReferenceData!$AV$5),"")</f>
        <v>3086.53</v>
      </c>
      <c r="AW5">
        <f ca="1">IFERROR(IF(0=LEN(ReferenceData!$AW$5),"",ReferenceData!$AW$5),"")</f>
        <v>3038.1129999999998</v>
      </c>
      <c r="AX5">
        <f ca="1">IFERROR(IF(0=LEN(ReferenceData!$AX$5),"",ReferenceData!$AX$5),"")</f>
        <v>2961.3429999999998</v>
      </c>
      <c r="AY5">
        <f ca="1">IFERROR(IF(0=LEN(ReferenceData!$AY$5),"",ReferenceData!$AY$5),"")</f>
        <v>2870.77</v>
      </c>
      <c r="AZ5">
        <f ca="1">IFERROR(IF(0=LEN(ReferenceData!$AZ$5),"",ReferenceData!$AZ$5),"")</f>
        <v>2816.9479999999999</v>
      </c>
      <c r="BA5">
        <f ca="1">IFERROR(IF(0=LEN(ReferenceData!$BA$5),"",ReferenceData!$BA$5),"")</f>
        <v>2755.7049999999999</v>
      </c>
      <c r="BB5">
        <f ca="1">IFERROR(IF(0=LEN(ReferenceData!$BB$5),"",ReferenceData!$BB$5),"")</f>
        <v>2697.549</v>
      </c>
      <c r="BC5">
        <f ca="1">IFERROR(IF(0=LEN(ReferenceData!$BC$5),"",ReferenceData!$BC$5),"")</f>
        <v>2661.1959999999999</v>
      </c>
      <c r="BD5">
        <f ca="1">IFERROR(IF(0=LEN(ReferenceData!$BD$5),"",ReferenceData!$BD$5),"")</f>
        <v>2609.5479999999998</v>
      </c>
      <c r="BE5">
        <f ca="1">IFERROR(IF(0=LEN(ReferenceData!$BE$5),"",ReferenceData!$BE$5),"")</f>
        <v>2559.69</v>
      </c>
      <c r="BF5">
        <f ca="1">IFERROR(IF(0=LEN(ReferenceData!$BF$5),"",ReferenceData!$BF$5),"")</f>
        <v>2545.4580000000001</v>
      </c>
      <c r="BG5">
        <f ca="1">IFERROR(IF(0=LEN(ReferenceData!$BG$5),"",ReferenceData!$BG$5),"")</f>
        <v>2487.473</v>
      </c>
      <c r="BH5">
        <f ca="1">IFERROR(IF(0=LEN(ReferenceData!$BH$5),"",ReferenceData!$BH$5),"")</f>
        <v>2400.1379999999999</v>
      </c>
      <c r="BI5">
        <f ca="1">IFERROR(IF(0=LEN(ReferenceData!$BI$5),"",ReferenceData!$BI$5),"")</f>
        <v>2334.873</v>
      </c>
      <c r="BJ5">
        <f ca="1">IFERROR(IF(0=LEN(ReferenceData!$BJ$5),"",ReferenceData!$BJ$5),"")</f>
        <v>2236.3049999999998</v>
      </c>
      <c r="BK5">
        <f ca="1">IFERROR(IF(0=LEN(ReferenceData!$BK$5),"",ReferenceData!$BK$5),"")</f>
        <v>2173.8850000000002</v>
      </c>
      <c r="BL5">
        <f ca="1">IFERROR(IF(0=LEN(ReferenceData!$BL$5),"",ReferenceData!$BL$5),"")</f>
        <v>2171.1379999999999</v>
      </c>
      <c r="BM5">
        <f ca="1">IFERROR(IF(0=LEN(ReferenceData!$BM$5),"",ReferenceData!$BM$5),"")</f>
        <v>2123.598</v>
      </c>
    </row>
    <row r="6" spans="1:65" x14ac:dyDescent="0.25">
      <c r="A6" t="str">
        <f>IFERROR(IF(0=LEN(ReferenceData!$A$6),"",ReferenceData!$A$6),"")</f>
        <v xml:space="preserve">        Change in Private Inventories</v>
      </c>
      <c r="B6" t="str">
        <f>IFERROR(IF(0=LEN(ReferenceData!$B$6),"",ReferenceData!$B$6),"")</f>
        <v>GDP$PICG Index</v>
      </c>
      <c r="C6" t="str">
        <f>IFERROR(IF(0=LEN(ReferenceData!$C$6),"",ReferenceData!$C$6),"")</f>
        <v>PR005</v>
      </c>
      <c r="D6" t="str">
        <f>IFERROR(IF(0=LEN(ReferenceData!$D$6),"",ReferenceData!$D$6),"")</f>
        <v>PX_LAST</v>
      </c>
      <c r="E6" t="str">
        <f>IFERROR(IF(0=LEN(ReferenceData!$E$6),"",ReferenceData!$E$6),"")</f>
        <v>Dynamic</v>
      </c>
      <c r="F6">
        <f ca="1">IFERROR(IF(0=LEN(ReferenceData!$F$6),"",ReferenceData!$F$6),"")</f>
        <v>-29.716000000000001</v>
      </c>
      <c r="G6">
        <f ca="1">IFERROR(IF(0=LEN(ReferenceData!$G$6),"",ReferenceData!$G$6),"")</f>
        <v>206.965</v>
      </c>
      <c r="H6">
        <f ca="1">IFERROR(IF(0=LEN(ReferenceData!$H$6),"",ReferenceData!$H$6),"")</f>
        <v>13.634</v>
      </c>
      <c r="I6">
        <f ca="1">IFERROR(IF(0=LEN(ReferenceData!$I$6),"",ReferenceData!$I$6),"")</f>
        <v>75.97</v>
      </c>
      <c r="J6">
        <f ca="1">IFERROR(IF(0=LEN(ReferenceData!$J$6),"",ReferenceData!$J$6),"")</f>
        <v>96.792000000000002</v>
      </c>
      <c r="K6">
        <f ca="1">IFERROR(IF(0=LEN(ReferenceData!$K$6),"",ReferenceData!$K$6),"")</f>
        <v>21.404</v>
      </c>
      <c r="L6">
        <f ca="1">IFERROR(IF(0=LEN(ReferenceData!$L$6),"",ReferenceData!$L$6),"")</f>
        <v>56.688000000000002</v>
      </c>
      <c r="M6">
        <f ca="1">IFERROR(IF(0=LEN(ReferenceData!$M$6),"",ReferenceData!$M$6),"")</f>
        <v>89.188999999999993</v>
      </c>
      <c r="N6">
        <f ca="1">IFERROR(IF(0=LEN(ReferenceData!$N$6),"",ReferenceData!$N$6),"")</f>
        <v>0.01</v>
      </c>
      <c r="O6">
        <f ca="1">IFERROR(IF(0=LEN(ReferenceData!$O$6),"",ReferenceData!$O$6),"")</f>
        <v>20.893999999999998</v>
      </c>
      <c r="P6">
        <f ca="1">IFERROR(IF(0=LEN(ReferenceData!$P$6),"",ReferenceData!$P$6),"")</f>
        <v>162.858</v>
      </c>
      <c r="Q6">
        <f ca="1">IFERROR(IF(0=LEN(ReferenceData!$Q$6),"",ReferenceData!$Q$6),"")</f>
        <v>73.820999999999998</v>
      </c>
      <c r="R6">
        <f ca="1">IFERROR(IF(0=LEN(ReferenceData!$R$6),"",ReferenceData!$R$6),"")</f>
        <v>116.971</v>
      </c>
      <c r="S6">
        <f ca="1">IFERROR(IF(0=LEN(ReferenceData!$S$6),"",ReferenceData!$S$6),"")</f>
        <v>244.93700000000001</v>
      </c>
      <c r="T6">
        <f ca="1">IFERROR(IF(0=LEN(ReferenceData!$T$6),"",ReferenceData!$T$6),"")</f>
        <v>252.79400000000001</v>
      </c>
      <c r="U6">
        <f ca="1">IFERROR(IF(0=LEN(ReferenceData!$U$6),"",ReferenceData!$U$6),"")</f>
        <v>1.8069999999999999</v>
      </c>
      <c r="V6">
        <f ca="1">IFERROR(IF(0=LEN(ReferenceData!$V$6),"",ReferenceData!$V$6),"")</f>
        <v>-164.61099999999999</v>
      </c>
      <c r="W6">
        <f ca="1">IFERROR(IF(0=LEN(ReferenceData!$W$6),"",ReferenceData!$W$6),"")</f>
        <v>-41.219000000000001</v>
      </c>
      <c r="X6">
        <f ca="1">IFERROR(IF(0=LEN(ReferenceData!$X$6),"",ReferenceData!$X$6),"")</f>
        <v>78.055000000000007</v>
      </c>
      <c r="Y6">
        <f ca="1">IFERROR(IF(0=LEN(ReferenceData!$Y$6),"",ReferenceData!$Y$6),"")</f>
        <v>98.974999999999994</v>
      </c>
      <c r="Z6">
        <f ca="1">IFERROR(IF(0=LEN(ReferenceData!$Z$6),"",ReferenceData!$Z$6),"")</f>
        <v>-282.27600000000001</v>
      </c>
      <c r="AA6">
        <f ca="1">IFERROR(IF(0=LEN(ReferenceData!$AA$6),"",ReferenceData!$AA$6),"")</f>
        <v>-39.039000000000001</v>
      </c>
      <c r="AB6">
        <f ca="1">IFERROR(IF(0=LEN(ReferenceData!$AB$6),"",ReferenceData!$AB$6),"")</f>
        <v>23.454999999999998</v>
      </c>
      <c r="AC6">
        <f ca="1">IFERROR(IF(0=LEN(ReferenceData!$AC$6),"",ReferenceData!$AC$6),"")</f>
        <v>70.233999999999995</v>
      </c>
      <c r="AD6">
        <f ca="1">IFERROR(IF(0=LEN(ReferenceData!$AD$6),"",ReferenceData!$AD$6),"")</f>
        <v>83.206999999999994</v>
      </c>
      <c r="AE6">
        <f ca="1">IFERROR(IF(0=LEN(ReferenceData!$AE$6),"",ReferenceData!$AE$6),"")</f>
        <v>114.925</v>
      </c>
      <c r="AF6">
        <f ca="1">IFERROR(IF(0=LEN(ReferenceData!$AF$6),"",ReferenceData!$AF$6),"")</f>
        <v>95.323999999999998</v>
      </c>
      <c r="AG6">
        <f ca="1">IFERROR(IF(0=LEN(ReferenceData!$AG$6),"",ReferenceData!$AG$6),"")</f>
        <v>98.664000000000001</v>
      </c>
      <c r="AH6">
        <f ca="1">IFERROR(IF(0=LEN(ReferenceData!$AH$6),"",ReferenceData!$AH$6),"")</f>
        <v>-3.4020000000000001</v>
      </c>
      <c r="AI6">
        <f ca="1">IFERROR(IF(0=LEN(ReferenceData!$AI$6),"",ReferenceData!$AI$6),"")</f>
        <v>35.045000000000002</v>
      </c>
      <c r="AJ6">
        <f ca="1">IFERROR(IF(0=LEN(ReferenceData!$AJ$6),"",ReferenceData!$AJ$6),"")</f>
        <v>43.997999999999998</v>
      </c>
      <c r="AK6">
        <f ca="1">IFERROR(IF(0=LEN(ReferenceData!$AK$6),"",ReferenceData!$AK$6),"")</f>
        <v>54.859000000000002</v>
      </c>
      <c r="AL6">
        <f ca="1">IFERROR(IF(0=LEN(ReferenceData!$AL$6),"",ReferenceData!$AL$6),"")</f>
        <v>25.527999999999999</v>
      </c>
      <c r="AM6">
        <f ca="1">IFERROR(IF(0=LEN(ReferenceData!$AM$6),"",ReferenceData!$AM$6),"")</f>
        <v>6.3109999999999999</v>
      </c>
      <c r="AN6">
        <f ca="1">IFERROR(IF(0=LEN(ReferenceData!$AN$6),"",ReferenceData!$AN$6),"")</f>
        <v>58.146999999999998</v>
      </c>
      <c r="AO6">
        <f ca="1">IFERROR(IF(0=LEN(ReferenceData!$AO$6),"",ReferenceData!$AO$6),"")</f>
        <v>5.3239999999999998</v>
      </c>
      <c r="AP6">
        <f ca="1">IFERROR(IF(0=LEN(ReferenceData!$AP$6),"",ReferenceData!$AP$6),"")</f>
        <v>30.484000000000002</v>
      </c>
      <c r="AQ6">
        <f ca="1">IFERROR(IF(0=LEN(ReferenceData!$AQ$6),"",ReferenceData!$AQ$6),"")</f>
        <v>62.317999999999998</v>
      </c>
      <c r="AR6">
        <f ca="1">IFERROR(IF(0=LEN(ReferenceData!$AR$6),"",ReferenceData!$AR$6),"")</f>
        <v>107.15</v>
      </c>
      <c r="AS6">
        <f ca="1">IFERROR(IF(0=LEN(ReferenceData!$AS$6),"",ReferenceData!$AS$6),"")</f>
        <v>126.851</v>
      </c>
      <c r="AT6">
        <f ca="1">IFERROR(IF(0=LEN(ReferenceData!$AT$6),"",ReferenceData!$AT$6),"")</f>
        <v>151.24799999999999</v>
      </c>
      <c r="AU6">
        <f ca="1">IFERROR(IF(0=LEN(ReferenceData!$AU$6),"",ReferenceData!$AU$6),"")</f>
        <v>175.24199999999999</v>
      </c>
      <c r="AV6">
        <f ca="1">IFERROR(IF(0=LEN(ReferenceData!$AV$6),"",ReferenceData!$AV$6),"")</f>
        <v>85.484999999999999</v>
      </c>
      <c r="AW6">
        <f ca="1">IFERROR(IF(0=LEN(ReferenceData!$AW$6),"",ReferenceData!$AW$6),"")</f>
        <v>103.934</v>
      </c>
      <c r="AX6">
        <f ca="1">IFERROR(IF(0=LEN(ReferenceData!$AX$6),"",ReferenceData!$AX$6),"")</f>
        <v>97.753</v>
      </c>
      <c r="AY6">
        <f ca="1">IFERROR(IF(0=LEN(ReferenceData!$AY$6),"",ReferenceData!$AY$6),"")</f>
        <v>51.994999999999997</v>
      </c>
      <c r="AZ6">
        <f ca="1">IFERROR(IF(0=LEN(ReferenceData!$AZ$6),"",ReferenceData!$AZ$6),"")</f>
        <v>117.343</v>
      </c>
      <c r="BA6">
        <f ca="1">IFERROR(IF(0=LEN(ReferenceData!$BA$6),"",ReferenceData!$BA$6),"")</f>
        <v>136.649</v>
      </c>
      <c r="BB6">
        <f ca="1">IFERROR(IF(0=LEN(ReferenceData!$BB$6),"",ReferenceData!$BB$6),"")</f>
        <v>82.692999999999998</v>
      </c>
      <c r="BC6">
        <f ca="1">IFERROR(IF(0=LEN(ReferenceData!$BC$6),"",ReferenceData!$BC$6),"")</f>
        <v>85.222999999999999</v>
      </c>
      <c r="BD6">
        <f ca="1">IFERROR(IF(0=LEN(ReferenceData!$BD$6),"",ReferenceData!$BD$6),"")</f>
        <v>28.734000000000002</v>
      </c>
      <c r="BE6">
        <f ca="1">IFERROR(IF(0=LEN(ReferenceData!$BE$6),"",ReferenceData!$BE$6),"")</f>
        <v>84.429000000000002</v>
      </c>
      <c r="BF6">
        <f ca="1">IFERROR(IF(0=LEN(ReferenceData!$BF$6),"",ReferenceData!$BF$6),"")</f>
        <v>91.406000000000006</v>
      </c>
      <c r="BG6">
        <f ca="1">IFERROR(IF(0=LEN(ReferenceData!$BG$6),"",ReferenceData!$BG$6),"")</f>
        <v>80.278000000000006</v>
      </c>
      <c r="BH6">
        <f ca="1">IFERROR(IF(0=LEN(ReferenceData!$BH$6),"",ReferenceData!$BH$6),"")</f>
        <v>103.956</v>
      </c>
      <c r="BI6">
        <f ca="1">IFERROR(IF(0=LEN(ReferenceData!$BI$6),"",ReferenceData!$BI$6),"")</f>
        <v>-12.032999999999999</v>
      </c>
      <c r="BJ6">
        <f ca="1">IFERROR(IF(0=LEN(ReferenceData!$BJ$6),"",ReferenceData!$BJ$6),"")</f>
        <v>61.046999999999997</v>
      </c>
      <c r="BK6">
        <f ca="1">IFERROR(IF(0=LEN(ReferenceData!$BK$6),"",ReferenceData!$BK$6),"")</f>
        <v>32.078000000000003</v>
      </c>
      <c r="BL6">
        <f ca="1">IFERROR(IF(0=LEN(ReferenceData!$BL$6),"",ReferenceData!$BL$6),"")</f>
        <v>67.301000000000002</v>
      </c>
      <c r="BM6">
        <f ca="1">IFERROR(IF(0=LEN(ReferenceData!$BM$6),"",ReferenceData!$BM$6),"")</f>
        <v>112.89700000000001</v>
      </c>
    </row>
    <row r="7" spans="1:65" x14ac:dyDescent="0.25">
      <c r="A7" t="str">
        <f>IFERROR(IF(0=LEN(ReferenceData!$A$7),"",ReferenceData!$A$7),"")</f>
        <v xml:space="preserve">        Government: Consumption Expenditure</v>
      </c>
      <c r="B7" t="str">
        <f>IFERROR(IF(0=LEN(ReferenceData!$B$7),"",ReferenceData!$B$7),"")</f>
        <v>GCEXCONE Index</v>
      </c>
      <c r="C7" t="str">
        <f>IFERROR(IF(0=LEN(ReferenceData!$C$7),"",ReferenceData!$C$7),"")</f>
        <v>PR005</v>
      </c>
      <c r="D7" t="str">
        <f>IFERROR(IF(0=LEN(ReferenceData!$D$7),"",ReferenceData!$D$7),"")</f>
        <v>PX_LAST</v>
      </c>
      <c r="E7" t="str">
        <f>IFERROR(IF(0=LEN(ReferenceData!$E$7),"",ReferenceData!$E$7),"")</f>
        <v>Dynamic</v>
      </c>
      <c r="F7">
        <f ca="1">IFERROR(IF(0=LEN(ReferenceData!$F$7),"",ReferenceData!$F$7),"")</f>
        <v>4054.6149999999998</v>
      </c>
      <c r="G7">
        <f ca="1">IFERROR(IF(0=LEN(ReferenceData!$G$7),"",ReferenceData!$G$7),"")</f>
        <v>4030.962</v>
      </c>
      <c r="H7">
        <f ca="1">IFERROR(IF(0=LEN(ReferenceData!$H$7),"",ReferenceData!$H$7),"")</f>
        <v>3996.8780000000002</v>
      </c>
      <c r="I7">
        <f ca="1">IFERROR(IF(0=LEN(ReferenceData!$I$7),"",ReferenceData!$I$7),"")</f>
        <v>3947.6559999999999</v>
      </c>
      <c r="J7">
        <f ca="1">IFERROR(IF(0=LEN(ReferenceData!$J$7),"",ReferenceData!$J$7),"")</f>
        <v>3882.1390000000001</v>
      </c>
      <c r="K7">
        <f ca="1">IFERROR(IF(0=LEN(ReferenceData!$K$7),"",ReferenceData!$K$7),"")</f>
        <v>3840.0880000000002</v>
      </c>
      <c r="L7">
        <f ca="1">IFERROR(IF(0=LEN(ReferenceData!$L$7),"",ReferenceData!$L$7),"")</f>
        <v>3781.7249999999999</v>
      </c>
      <c r="M7">
        <f ca="1">IFERROR(IF(0=LEN(ReferenceData!$M$7),"",ReferenceData!$M$7),"")</f>
        <v>3758.931</v>
      </c>
      <c r="N7">
        <f ca="1">IFERROR(IF(0=LEN(ReferenceData!$N$7),"",ReferenceData!$N$7),"")</f>
        <v>3674.3180000000002</v>
      </c>
      <c r="O7">
        <f ca="1">IFERROR(IF(0=LEN(ReferenceData!$O$7),"",ReferenceData!$O$7),"")</f>
        <v>3680.8440000000001</v>
      </c>
      <c r="P7">
        <f ca="1">IFERROR(IF(0=LEN(ReferenceData!$P$7),"",ReferenceData!$P$7),"")</f>
        <v>3641.91</v>
      </c>
      <c r="Q7">
        <f ca="1">IFERROR(IF(0=LEN(ReferenceData!$Q$7),"",ReferenceData!$Q$7),"")</f>
        <v>3590.2719999999999</v>
      </c>
      <c r="R7">
        <f ca="1">IFERROR(IF(0=LEN(ReferenceData!$R$7),"",ReferenceData!$R$7),"")</f>
        <v>3560.0320000000002</v>
      </c>
      <c r="S7">
        <f ca="1">IFERROR(IF(0=LEN(ReferenceData!$S$7),"",ReferenceData!$S$7),"")</f>
        <v>3473.9160000000002</v>
      </c>
      <c r="T7">
        <f ca="1">IFERROR(IF(0=LEN(ReferenceData!$T$7),"",ReferenceData!$T$7),"")</f>
        <v>3440.748</v>
      </c>
      <c r="U7">
        <f ca="1">IFERROR(IF(0=LEN(ReferenceData!$U$7),"",ReferenceData!$U$7),"")</f>
        <v>3386.91</v>
      </c>
      <c r="V7">
        <f ca="1">IFERROR(IF(0=LEN(ReferenceData!$V$7),"",ReferenceData!$V$7),"")</f>
        <v>3348.2719999999999</v>
      </c>
      <c r="W7">
        <f ca="1">IFERROR(IF(0=LEN(ReferenceData!$W$7),"",ReferenceData!$W$7),"")</f>
        <v>3325.2069999999999</v>
      </c>
      <c r="X7">
        <f ca="1">IFERROR(IF(0=LEN(ReferenceData!$X$7),"",ReferenceData!$X$7),"")</f>
        <v>3195.54</v>
      </c>
      <c r="Y7">
        <f ca="1">IFERROR(IF(0=LEN(ReferenceData!$Y$7),"",ReferenceData!$Y$7),"")</f>
        <v>3182.4349999999999</v>
      </c>
      <c r="Z7">
        <f ca="1">IFERROR(IF(0=LEN(ReferenceData!$Z$7),"",ReferenceData!$Z$7),"")</f>
        <v>3209.4229999999998</v>
      </c>
      <c r="AA7">
        <f ca="1">IFERROR(IF(0=LEN(ReferenceData!$AA$7),"",ReferenceData!$AA$7),"")</f>
        <v>3136.0140000000001</v>
      </c>
      <c r="AB7">
        <f ca="1">IFERROR(IF(0=LEN(ReferenceData!$AB$7),"",ReferenceData!$AB$7),"")</f>
        <v>3080.9360000000001</v>
      </c>
      <c r="AC7">
        <f ca="1">IFERROR(IF(0=LEN(ReferenceData!$AC$7),"",ReferenceData!$AC$7),"")</f>
        <v>3034.1390000000001</v>
      </c>
      <c r="AD7">
        <f ca="1">IFERROR(IF(0=LEN(ReferenceData!$AD$7),"",ReferenceData!$AD$7),"")</f>
        <v>2994.223</v>
      </c>
      <c r="AE7">
        <f ca="1">IFERROR(IF(0=LEN(ReferenceData!$AE$7),"",ReferenceData!$AE$7),"")</f>
        <v>2938.9250000000002</v>
      </c>
      <c r="AF7">
        <f ca="1">IFERROR(IF(0=LEN(ReferenceData!$AF$7),"",ReferenceData!$AF$7),"")</f>
        <v>2912.96</v>
      </c>
      <c r="AG7">
        <f ca="1">IFERROR(IF(0=LEN(ReferenceData!$AG$7),"",ReferenceData!$AG$7),"")</f>
        <v>2885.5210000000002</v>
      </c>
      <c r="AH7">
        <f ca="1">IFERROR(IF(0=LEN(ReferenceData!$AH$7),"",ReferenceData!$AH$7),"")</f>
        <v>2839.1469999999999</v>
      </c>
      <c r="AI7">
        <f ca="1">IFERROR(IF(0=LEN(ReferenceData!$AI$7),"",ReferenceData!$AI$7),"")</f>
        <v>2801.299</v>
      </c>
      <c r="AJ7">
        <f ca="1">IFERROR(IF(0=LEN(ReferenceData!$AJ$7),"",ReferenceData!$AJ$7),"")</f>
        <v>2761.375</v>
      </c>
      <c r="AK7">
        <f ca="1">IFERROR(IF(0=LEN(ReferenceData!$AK$7),"",ReferenceData!$AK$7),"")</f>
        <v>2715.8510000000001</v>
      </c>
      <c r="AL7">
        <f ca="1">IFERROR(IF(0=LEN(ReferenceData!$AL$7),"",ReferenceData!$AL$7),"")</f>
        <v>2695.7240000000002</v>
      </c>
      <c r="AM7">
        <f ca="1">IFERROR(IF(0=LEN(ReferenceData!$AM$7),"",ReferenceData!$AM$7),"")</f>
        <v>2689.9050000000002</v>
      </c>
      <c r="AN7">
        <f ca="1">IFERROR(IF(0=LEN(ReferenceData!$AN$7),"",ReferenceData!$AN$7),"")</f>
        <v>2680.9960000000001</v>
      </c>
      <c r="AO7">
        <f ca="1">IFERROR(IF(0=LEN(ReferenceData!$AO$7),"",ReferenceData!$AO$7),"")</f>
        <v>2668.2809999999999</v>
      </c>
      <c r="AP7">
        <f ca="1">IFERROR(IF(0=LEN(ReferenceData!$AP$7),"",ReferenceData!$AP$7),"")</f>
        <v>2642.9229999999998</v>
      </c>
      <c r="AQ7">
        <f ca="1">IFERROR(IF(0=LEN(ReferenceData!$AQ$7),"",ReferenceData!$AQ$7),"")</f>
        <v>2621.2959999999998</v>
      </c>
      <c r="AR7">
        <f ca="1">IFERROR(IF(0=LEN(ReferenceData!$AR$7),"",ReferenceData!$AR$7),"")</f>
        <v>2624.3560000000002</v>
      </c>
      <c r="AS7">
        <f ca="1">IFERROR(IF(0=LEN(ReferenceData!$AS$7),"",ReferenceData!$AS$7),"")</f>
        <v>2615.8960000000002</v>
      </c>
      <c r="AT7">
        <f ca="1">IFERROR(IF(0=LEN(ReferenceData!$AT$7),"",ReferenceData!$AT$7),"")</f>
        <v>2601.375</v>
      </c>
      <c r="AU7">
        <f ca="1">IFERROR(IF(0=LEN(ReferenceData!$AU$7),"",ReferenceData!$AU$7),"")</f>
        <v>2574.3270000000002</v>
      </c>
      <c r="AV7">
        <f ca="1">IFERROR(IF(0=LEN(ReferenceData!$AV$7),"",ReferenceData!$AV$7),"")</f>
        <v>2571.8890000000001</v>
      </c>
      <c r="AW7">
        <f ca="1">IFERROR(IF(0=LEN(ReferenceData!$AW$7),"",ReferenceData!$AW$7),"")</f>
        <v>2581.3989999999999</v>
      </c>
      <c r="AX7">
        <f ca="1">IFERROR(IF(0=LEN(ReferenceData!$AX$7),"",ReferenceData!$AX$7),"")</f>
        <v>2548.4259999999999</v>
      </c>
      <c r="AY7">
        <f ca="1">IFERROR(IF(0=LEN(ReferenceData!$AY$7),"",ReferenceData!$AY$7),"")</f>
        <v>2547.3919999999998</v>
      </c>
      <c r="AZ7">
        <f ca="1">IFERROR(IF(0=LEN(ReferenceData!$AZ$7),"",ReferenceData!$AZ$7),"")</f>
        <v>2536.4630000000002</v>
      </c>
      <c r="BA7">
        <f ca="1">IFERROR(IF(0=LEN(ReferenceData!$BA$7),"",ReferenceData!$BA$7),"")</f>
        <v>2530.7339999999999</v>
      </c>
      <c r="BB7">
        <f ca="1">IFERROR(IF(0=LEN(ReferenceData!$BB$7),"",ReferenceData!$BB$7),"")</f>
        <v>2531.6129999999998</v>
      </c>
      <c r="BC7">
        <f ca="1">IFERROR(IF(0=LEN(ReferenceData!$BC$7),"",ReferenceData!$BC$7),"")</f>
        <v>2524.1689999999999</v>
      </c>
      <c r="BD7">
        <f ca="1">IFERROR(IF(0=LEN(ReferenceData!$BD$7),"",ReferenceData!$BD$7),"")</f>
        <v>2521.5500000000002</v>
      </c>
      <c r="BE7">
        <f ca="1">IFERROR(IF(0=LEN(ReferenceData!$BE$7),"",ReferenceData!$BE$7),"")</f>
        <v>2519.6840000000002</v>
      </c>
      <c r="BF7">
        <f ca="1">IFERROR(IF(0=LEN(ReferenceData!$BF$7),"",ReferenceData!$BF$7),"")</f>
        <v>2503.34</v>
      </c>
      <c r="BG7">
        <f ca="1">IFERROR(IF(0=LEN(ReferenceData!$BG$7),"",ReferenceData!$BG$7),"")</f>
        <v>2517.1840000000002</v>
      </c>
      <c r="BH7">
        <f ca="1">IFERROR(IF(0=LEN(ReferenceData!$BH$7),"",ReferenceData!$BH$7),"")</f>
        <v>2495.0349999999999</v>
      </c>
      <c r="BI7">
        <f ca="1">IFERROR(IF(0=LEN(ReferenceData!$BI$7),"",ReferenceData!$BI$7),"")</f>
        <v>2501.81</v>
      </c>
      <c r="BJ7">
        <f ca="1">IFERROR(IF(0=LEN(ReferenceData!$BJ$7),"",ReferenceData!$BJ$7),"")</f>
        <v>2531.982</v>
      </c>
      <c r="BK7">
        <f ca="1">IFERROR(IF(0=LEN(ReferenceData!$BK$7),"",ReferenceData!$BK$7),"")</f>
        <v>2516.4169999999999</v>
      </c>
      <c r="BL7">
        <f ca="1">IFERROR(IF(0=LEN(ReferenceData!$BL$7),"",ReferenceData!$BL$7),"")</f>
        <v>2516.9209999999998</v>
      </c>
      <c r="BM7">
        <f ca="1">IFERROR(IF(0=LEN(ReferenceData!$BM$7),"",ReferenceData!$BM$7),"")</f>
        <v>2508.8850000000002</v>
      </c>
    </row>
    <row r="8" spans="1:65" x14ac:dyDescent="0.25">
      <c r="A8" t="str">
        <f>IFERROR(IF(0=LEN(ReferenceData!$A$8),"",ReferenceData!$A$8),"")</f>
        <v xml:space="preserve">        Government: Gross Investment</v>
      </c>
      <c r="B8" t="str">
        <f>IFERROR(IF(0=LEN(ReferenceData!$B$8),"",ReferenceData!$B$8),"")</f>
        <v>GCEXGRSS Index</v>
      </c>
      <c r="C8" t="str">
        <f>IFERROR(IF(0=LEN(ReferenceData!$C$8),"",ReferenceData!$C$8),"")</f>
        <v>PR005</v>
      </c>
      <c r="D8" t="str">
        <f>IFERROR(IF(0=LEN(ReferenceData!$D$8),"",ReferenceData!$D$8),"")</f>
        <v>PX_LAST</v>
      </c>
      <c r="E8" t="str">
        <f>IFERROR(IF(0=LEN(ReferenceData!$E$8),"",ReferenceData!$E$8),"")</f>
        <v>Dynamic</v>
      </c>
      <c r="F8">
        <f ca="1">IFERROR(IF(0=LEN(ReferenceData!$F$8),"",ReferenceData!$F$8),"")</f>
        <v>1135.0409999999999</v>
      </c>
      <c r="G8">
        <f ca="1">IFERROR(IF(0=LEN(ReferenceData!$G$8),"",ReferenceData!$G$8),"")</f>
        <v>1118.93</v>
      </c>
      <c r="H8">
        <f ca="1">IFERROR(IF(0=LEN(ReferenceData!$H$8),"",ReferenceData!$H$8),"")</f>
        <v>1102.8510000000001</v>
      </c>
      <c r="I8">
        <f ca="1">IFERROR(IF(0=LEN(ReferenceData!$I$8),"",ReferenceData!$I$8),"")</f>
        <v>1087.3520000000001</v>
      </c>
      <c r="J8">
        <f ca="1">IFERROR(IF(0=LEN(ReferenceData!$J$8),"",ReferenceData!$J$8),"")</f>
        <v>1060.902</v>
      </c>
      <c r="K8">
        <f ca="1">IFERROR(IF(0=LEN(ReferenceData!$K$8),"",ReferenceData!$K$8),"")</f>
        <v>1040.8720000000001</v>
      </c>
      <c r="L8">
        <f ca="1">IFERROR(IF(0=LEN(ReferenceData!$L$8),"",ReferenceData!$L$8),"")</f>
        <v>1033.4259999999999</v>
      </c>
      <c r="M8">
        <f ca="1">IFERROR(IF(0=LEN(ReferenceData!$M$8),"",ReferenceData!$M$8),"")</f>
        <v>997.51700000000005</v>
      </c>
      <c r="N8">
        <f ca="1">IFERROR(IF(0=LEN(ReferenceData!$N$8),"",ReferenceData!$N$8),"")</f>
        <v>971.58699999999999</v>
      </c>
      <c r="O8">
        <f ca="1">IFERROR(IF(0=LEN(ReferenceData!$O$8),"",ReferenceData!$O$8),"")</f>
        <v>943.74199999999996</v>
      </c>
      <c r="P8">
        <f ca="1">IFERROR(IF(0=LEN(ReferenceData!$P$8),"",ReferenceData!$P$8),"")</f>
        <v>922.88199999999995</v>
      </c>
      <c r="Q8">
        <f ca="1">IFERROR(IF(0=LEN(ReferenceData!$Q$8),"",ReferenceData!$Q$8),"")</f>
        <v>889.77800000000002</v>
      </c>
      <c r="R8">
        <f ca="1">IFERROR(IF(0=LEN(ReferenceData!$R$8),"",ReferenceData!$R$8),"")</f>
        <v>877.577</v>
      </c>
      <c r="S8">
        <f ca="1">IFERROR(IF(0=LEN(ReferenceData!$S$8),"",ReferenceData!$S$8),"")</f>
        <v>858.69399999999996</v>
      </c>
      <c r="T8">
        <f ca="1">IFERROR(IF(0=LEN(ReferenceData!$T$8),"",ReferenceData!$T$8),"")</f>
        <v>841.57</v>
      </c>
      <c r="U8">
        <f ca="1">IFERROR(IF(0=LEN(ReferenceData!$U$8),"",ReferenceData!$U$8),"")</f>
        <v>827.06</v>
      </c>
      <c r="V8">
        <f ca="1">IFERROR(IF(0=LEN(ReferenceData!$V$8),"",ReferenceData!$V$8),"")</f>
        <v>821.74400000000003</v>
      </c>
      <c r="W8">
        <f ca="1">IFERROR(IF(0=LEN(ReferenceData!$W$8),"",ReferenceData!$W$8),"")</f>
        <v>822.41899999999998</v>
      </c>
      <c r="X8">
        <f ca="1">IFERROR(IF(0=LEN(ReferenceData!$X$8),"",ReferenceData!$X$8),"")</f>
        <v>832.45500000000004</v>
      </c>
      <c r="Y8">
        <f ca="1">IFERROR(IF(0=LEN(ReferenceData!$Y$8),"",ReferenceData!$Y$8),"")</f>
        <v>819.13499999999999</v>
      </c>
      <c r="Z8">
        <f ca="1">IFERROR(IF(0=LEN(ReferenceData!$Z$8),"",ReferenceData!$Z$8),"")</f>
        <v>816.55100000000004</v>
      </c>
      <c r="AA8">
        <f ca="1">IFERROR(IF(0=LEN(ReferenceData!$AA$8),"",ReferenceData!$AA$8),"")</f>
        <v>806.99800000000005</v>
      </c>
      <c r="AB8">
        <f ca="1">IFERROR(IF(0=LEN(ReferenceData!$AB$8),"",ReferenceData!$AB$8),"")</f>
        <v>784.03200000000004</v>
      </c>
      <c r="AC8">
        <f ca="1">IFERROR(IF(0=LEN(ReferenceData!$AC$8),"",ReferenceData!$AC$8),"")</f>
        <v>780.69799999999998</v>
      </c>
      <c r="AD8">
        <f ca="1">IFERROR(IF(0=LEN(ReferenceData!$AD$8),"",ReferenceData!$AD$8),"")</f>
        <v>767.02</v>
      </c>
      <c r="AE8">
        <f ca="1">IFERROR(IF(0=LEN(ReferenceData!$AE$8),"",ReferenceData!$AE$8),"")</f>
        <v>764.00900000000001</v>
      </c>
      <c r="AF8">
        <f ca="1">IFERROR(IF(0=LEN(ReferenceData!$AF$8),"",ReferenceData!$AF$8),"")</f>
        <v>737.88800000000003</v>
      </c>
      <c r="AG8">
        <f ca="1">IFERROR(IF(0=LEN(ReferenceData!$AG$8),"",ReferenceData!$AG$8),"")</f>
        <v>740.56500000000005</v>
      </c>
      <c r="AH8">
        <f ca="1">IFERROR(IF(0=LEN(ReferenceData!$AH$8),"",ReferenceData!$AH$8),"")</f>
        <v>731.56700000000001</v>
      </c>
      <c r="AI8">
        <f ca="1">IFERROR(IF(0=LEN(ReferenceData!$AI$8),"",ReferenceData!$AI$8),"")</f>
        <v>712.577</v>
      </c>
      <c r="AJ8">
        <f ca="1">IFERROR(IF(0=LEN(ReferenceData!$AJ$8),"",ReferenceData!$AJ$8),"")</f>
        <v>704.76199999999994</v>
      </c>
      <c r="AK8">
        <f ca="1">IFERROR(IF(0=LEN(ReferenceData!$AK$8),"",ReferenceData!$AK$8),"")</f>
        <v>683.03499999999997</v>
      </c>
      <c r="AL8">
        <f ca="1">IFERROR(IF(0=LEN(ReferenceData!$AL$8),"",ReferenceData!$AL$8),"")</f>
        <v>674.72</v>
      </c>
      <c r="AM8">
        <f ca="1">IFERROR(IF(0=LEN(ReferenceData!$AM$8),"",ReferenceData!$AM$8),"")</f>
        <v>663.19100000000003</v>
      </c>
      <c r="AN8">
        <f ca="1">IFERROR(IF(0=LEN(ReferenceData!$AN$8),"",ReferenceData!$AN$8),"")</f>
        <v>656.24900000000002</v>
      </c>
      <c r="AO8">
        <f ca="1">IFERROR(IF(0=LEN(ReferenceData!$AO$8),"",ReferenceData!$AO$8),"")</f>
        <v>646.89</v>
      </c>
      <c r="AP8">
        <f ca="1">IFERROR(IF(0=LEN(ReferenceData!$AP$8),"",ReferenceData!$AP$8),"")</f>
        <v>646.64400000000001</v>
      </c>
      <c r="AQ8">
        <f ca="1">IFERROR(IF(0=LEN(ReferenceData!$AQ$8),"",ReferenceData!$AQ$8),"")</f>
        <v>648.84500000000003</v>
      </c>
      <c r="AR8">
        <f ca="1">IFERROR(IF(0=LEN(ReferenceData!$AR$8),"",ReferenceData!$AR$8),"")</f>
        <v>633.78700000000003</v>
      </c>
      <c r="AS8">
        <f ca="1">IFERROR(IF(0=LEN(ReferenceData!$AS$8),"",ReferenceData!$AS$8),"")</f>
        <v>637.65800000000002</v>
      </c>
      <c r="AT8">
        <f ca="1">IFERROR(IF(0=LEN(ReferenceData!$AT$8),"",ReferenceData!$AT$8),"")</f>
        <v>632.69200000000001</v>
      </c>
      <c r="AU8">
        <f ca="1">IFERROR(IF(0=LEN(ReferenceData!$AU$8),"",ReferenceData!$AU$8),"")</f>
        <v>613.58799999999997</v>
      </c>
      <c r="AV8">
        <f ca="1">IFERROR(IF(0=LEN(ReferenceData!$AV$8),"",ReferenceData!$AV$8),"")</f>
        <v>617.36400000000003</v>
      </c>
      <c r="AW8">
        <f ca="1">IFERROR(IF(0=LEN(ReferenceData!$AW$8),"",ReferenceData!$AW$8),"")</f>
        <v>610.35</v>
      </c>
      <c r="AX8">
        <f ca="1">IFERROR(IF(0=LEN(ReferenceData!$AX$8),"",ReferenceData!$AX$8),"")</f>
        <v>605.94000000000005</v>
      </c>
      <c r="AY8">
        <f ca="1">IFERROR(IF(0=LEN(ReferenceData!$AY$8),"",ReferenceData!$AY$8),"")</f>
        <v>591.66899999999998</v>
      </c>
      <c r="AZ8">
        <f ca="1">IFERROR(IF(0=LEN(ReferenceData!$AZ$8),"",ReferenceData!$AZ$8),"")</f>
        <v>604.05399999999997</v>
      </c>
      <c r="BA8">
        <f ca="1">IFERROR(IF(0=LEN(ReferenceData!$BA$8),"",ReferenceData!$BA$8),"")</f>
        <v>604.45799999999997</v>
      </c>
      <c r="BB8">
        <f ca="1">IFERROR(IF(0=LEN(ReferenceData!$BB$8),"",ReferenceData!$BB$8),"")</f>
        <v>599.53</v>
      </c>
      <c r="BC8">
        <f ca="1">IFERROR(IF(0=LEN(ReferenceData!$BC$8),"",ReferenceData!$BC$8),"")</f>
        <v>599.28499999999997</v>
      </c>
      <c r="BD8">
        <f ca="1">IFERROR(IF(0=LEN(ReferenceData!$BD$8),"",ReferenceData!$BD$8),"")</f>
        <v>610.75800000000004</v>
      </c>
      <c r="BE8">
        <f ca="1">IFERROR(IF(0=LEN(ReferenceData!$BE$8),"",ReferenceData!$BE$8),"")</f>
        <v>619.428</v>
      </c>
      <c r="BF8">
        <f ca="1">IFERROR(IF(0=LEN(ReferenceData!$BF$8),"",ReferenceData!$BF$8),"")</f>
        <v>627.09799999999996</v>
      </c>
      <c r="BG8">
        <f ca="1">IFERROR(IF(0=LEN(ReferenceData!$BG$8),"",ReferenceData!$BG$8),"")</f>
        <v>626.84100000000001</v>
      </c>
      <c r="BH8">
        <f ca="1">IFERROR(IF(0=LEN(ReferenceData!$BH$8),"",ReferenceData!$BH$8),"")</f>
        <v>635.73099999999999</v>
      </c>
      <c r="BI8">
        <f ca="1">IFERROR(IF(0=LEN(ReferenceData!$BI$8),"",ReferenceData!$BI$8),"")</f>
        <v>635.11199999999997</v>
      </c>
      <c r="BJ8">
        <f ca="1">IFERROR(IF(0=LEN(ReferenceData!$BJ$8),"",ReferenceData!$BJ$8),"")</f>
        <v>636.279</v>
      </c>
      <c r="BK8">
        <f ca="1">IFERROR(IF(0=LEN(ReferenceData!$BK$8),"",ReferenceData!$BK$8),"")</f>
        <v>639.351</v>
      </c>
      <c r="BL8">
        <f ca="1">IFERROR(IF(0=LEN(ReferenceData!$BL$8),"",ReferenceData!$BL$8),"")</f>
        <v>647.39599999999996</v>
      </c>
      <c r="BM8">
        <f ca="1">IFERROR(IF(0=LEN(ReferenceData!$BM$8),"",ReferenceData!$BM$8),"")</f>
        <v>649.41600000000005</v>
      </c>
    </row>
    <row r="9" spans="1:65" x14ac:dyDescent="0.25">
      <c r="A9" t="str">
        <f>IFERROR(IF(0=LEN(ReferenceData!$A$9),"",ReferenceData!$A$9),"")</f>
        <v xml:space="preserve">        Exports</v>
      </c>
      <c r="B9" t="str">
        <f>IFERROR(IF(0=LEN(ReferenceData!$B$9),"",ReferenceData!$B$9),"")</f>
        <v>GDP$EXP Index</v>
      </c>
      <c r="C9" t="str">
        <f>IFERROR(IF(0=LEN(ReferenceData!$C$9),"",ReferenceData!$C$9),"")</f>
        <v>PR005</v>
      </c>
      <c r="D9" t="str">
        <f>IFERROR(IF(0=LEN(ReferenceData!$D$9),"",ReferenceData!$D$9),"")</f>
        <v>PX_LAST</v>
      </c>
      <c r="E9" t="str">
        <f>IFERROR(IF(0=LEN(ReferenceData!$E$9),"",ReferenceData!$E$9),"")</f>
        <v>Dynamic</v>
      </c>
      <c r="F9">
        <f ca="1">IFERROR(IF(0=LEN(ReferenceData!$F$9),"",ReferenceData!$F$9),"")</f>
        <v>3241.9459999999999</v>
      </c>
      <c r="G9">
        <f ca="1">IFERROR(IF(0=LEN(ReferenceData!$G$9),"",ReferenceData!$G$9),"")</f>
        <v>3266.413</v>
      </c>
      <c r="H9">
        <f ca="1">IFERROR(IF(0=LEN(ReferenceData!$H$9),"",ReferenceData!$H$9),"")</f>
        <v>3220.9290000000001</v>
      </c>
      <c r="I9">
        <f ca="1">IFERROR(IF(0=LEN(ReferenceData!$I$9),"",ReferenceData!$I$9),"")</f>
        <v>3220.2919999999999</v>
      </c>
      <c r="J9">
        <f ca="1">IFERROR(IF(0=LEN(ReferenceData!$J$9),"",ReferenceData!$J$9),"")</f>
        <v>3154.3209999999999</v>
      </c>
      <c r="K9">
        <f ca="1">IFERROR(IF(0=LEN(ReferenceData!$K$9),"",ReferenceData!$K$9),"")</f>
        <v>3125.4209999999998</v>
      </c>
      <c r="L9">
        <f ca="1">IFERROR(IF(0=LEN(ReferenceData!$L$9),"",ReferenceData!$L$9),"")</f>
        <v>3091.748</v>
      </c>
      <c r="M9">
        <f ca="1">IFERROR(IF(0=LEN(ReferenceData!$M$9),"",ReferenceData!$M$9),"")</f>
        <v>3062.0410000000002</v>
      </c>
      <c r="N9">
        <f ca="1">IFERROR(IF(0=LEN(ReferenceData!$N$9),"",ReferenceData!$N$9),"")</f>
        <v>2995.5239999999999</v>
      </c>
      <c r="O9">
        <f ca="1">IFERROR(IF(0=LEN(ReferenceData!$O$9),"",ReferenceData!$O$9),"")</f>
        <v>3060.5619999999999</v>
      </c>
      <c r="P9">
        <f ca="1">IFERROR(IF(0=LEN(ReferenceData!$P$9),"",ReferenceData!$P$9),"")</f>
        <v>3046.7179999999998</v>
      </c>
      <c r="Q9">
        <f ca="1">IFERROR(IF(0=LEN(ReferenceData!$Q$9),"",ReferenceData!$Q$9),"")</f>
        <v>3102.55</v>
      </c>
      <c r="R9">
        <f ca="1">IFERROR(IF(0=LEN(ReferenceData!$R$9),"",ReferenceData!$R$9),"")</f>
        <v>3071.5509999999999</v>
      </c>
      <c r="S9">
        <f ca="1">IFERROR(IF(0=LEN(ReferenceData!$S$9),"",ReferenceData!$S$9),"")</f>
        <v>2848.6979999999999</v>
      </c>
      <c r="T9">
        <f ca="1">IFERROR(IF(0=LEN(ReferenceData!$T$9),"",ReferenceData!$T$9),"")</f>
        <v>2765.36</v>
      </c>
      <c r="U9">
        <f ca="1">IFERROR(IF(0=LEN(ReferenceData!$U$9),"",ReferenceData!$U$9),"")</f>
        <v>2570.1030000000001</v>
      </c>
      <c r="V9">
        <f ca="1">IFERROR(IF(0=LEN(ReferenceData!$V$9),"",ReferenceData!$V$9),"")</f>
        <v>2505.0320000000002</v>
      </c>
      <c r="W9">
        <f ca="1">IFERROR(IF(0=LEN(ReferenceData!$W$9),"",ReferenceData!$W$9),"")</f>
        <v>2381.2240000000002</v>
      </c>
      <c r="X9">
        <f ca="1">IFERROR(IF(0=LEN(ReferenceData!$X$9),"",ReferenceData!$X$9),"")</f>
        <v>2268.8910000000001</v>
      </c>
      <c r="Y9">
        <f ca="1">IFERROR(IF(0=LEN(ReferenceData!$Y$9),"",ReferenceData!$Y$9),"")</f>
        <v>2105.0830000000001</v>
      </c>
      <c r="Z9">
        <f ca="1">IFERROR(IF(0=LEN(ReferenceData!$Z$9),"",ReferenceData!$Z$9),"")</f>
        <v>1814.4010000000001</v>
      </c>
      <c r="AA9">
        <f ca="1">IFERROR(IF(0=LEN(ReferenceData!$AA$9),"",ReferenceData!$AA$9),"")</f>
        <v>2416.181</v>
      </c>
      <c r="AB9">
        <f ca="1">IFERROR(IF(0=LEN(ReferenceData!$AB$9),"",ReferenceData!$AB$9),"")</f>
        <v>2537.4659999999999</v>
      </c>
      <c r="AC9">
        <f ca="1">IFERROR(IF(0=LEN(ReferenceData!$AC$9),"",ReferenceData!$AC$9),"")</f>
        <v>2532.4050000000002</v>
      </c>
      <c r="AD9">
        <f ca="1">IFERROR(IF(0=LEN(ReferenceData!$AD$9),"",ReferenceData!$AD$9),"")</f>
        <v>2547.4479999999999</v>
      </c>
      <c r="AE9">
        <f ca="1">IFERROR(IF(0=LEN(ReferenceData!$AE$9),"",ReferenceData!$AE$9),"")</f>
        <v>2540.2440000000001</v>
      </c>
      <c r="AF9">
        <f ca="1">IFERROR(IF(0=LEN(ReferenceData!$AF$9),"",ReferenceData!$AF$9),"")</f>
        <v>2537.415</v>
      </c>
      <c r="AG9">
        <f ca="1">IFERROR(IF(0=LEN(ReferenceData!$AG$9),"",ReferenceData!$AG$9),"")</f>
        <v>2535.5010000000002</v>
      </c>
      <c r="AH9">
        <f ca="1">IFERROR(IF(0=LEN(ReferenceData!$AH$9),"",ReferenceData!$AH$9),"")</f>
        <v>2562.172</v>
      </c>
      <c r="AI9">
        <f ca="1">IFERROR(IF(0=LEN(ReferenceData!$AI$9),"",ReferenceData!$AI$9),"")</f>
        <v>2517.268</v>
      </c>
      <c r="AJ9">
        <f ca="1">IFERROR(IF(0=LEN(ReferenceData!$AJ$9),"",ReferenceData!$AJ$9),"")</f>
        <v>2479.107</v>
      </c>
      <c r="AK9">
        <f ca="1">IFERROR(IF(0=LEN(ReferenceData!$AK$9),"",ReferenceData!$AK$9),"")</f>
        <v>2384.5239999999999</v>
      </c>
      <c r="AL9">
        <f ca="1">IFERROR(IF(0=LEN(ReferenceData!$AL$9),"",ReferenceData!$AL$9),"")</f>
        <v>2349.681</v>
      </c>
      <c r="AM9">
        <f ca="1">IFERROR(IF(0=LEN(ReferenceData!$AM$9),"",ReferenceData!$AM$9),"")</f>
        <v>2339.7280000000001</v>
      </c>
      <c r="AN9">
        <f ca="1">IFERROR(IF(0=LEN(ReferenceData!$AN$9),"",ReferenceData!$AN$9),"")</f>
        <v>2268.3389999999999</v>
      </c>
      <c r="AO9">
        <f ca="1">IFERROR(IF(0=LEN(ReferenceData!$AO$9),"",ReferenceData!$AO$9),"")</f>
        <v>2270</v>
      </c>
      <c r="AP9">
        <f ca="1">IFERROR(IF(0=LEN(ReferenceData!$AP$9),"",ReferenceData!$AP$9),"")</f>
        <v>2221.9360000000001</v>
      </c>
      <c r="AQ9">
        <f ca="1">IFERROR(IF(0=LEN(ReferenceData!$AQ$9),"",ReferenceData!$AQ$9),"")</f>
        <v>2181.9569999999999</v>
      </c>
      <c r="AR9">
        <f ca="1">IFERROR(IF(0=LEN(ReferenceData!$AR$9),"",ReferenceData!$AR$9),"")</f>
        <v>2222.279</v>
      </c>
      <c r="AS9">
        <f ca="1">IFERROR(IF(0=LEN(ReferenceData!$AS$9),"",ReferenceData!$AS$9),"")</f>
        <v>2260.7240000000002</v>
      </c>
      <c r="AT9">
        <f ca="1">IFERROR(IF(0=LEN(ReferenceData!$AT$9),"",ReferenceData!$AT$9),"")</f>
        <v>2300.4409999999998</v>
      </c>
      <c r="AU9">
        <f ca="1">IFERROR(IF(0=LEN(ReferenceData!$AU$9),"",ReferenceData!$AU$9),"")</f>
        <v>2299.0450000000001</v>
      </c>
      <c r="AV9">
        <f ca="1">IFERROR(IF(0=LEN(ReferenceData!$AV$9),"",ReferenceData!$AV$9),"")</f>
        <v>2376.2179999999998</v>
      </c>
      <c r="AW9">
        <f ca="1">IFERROR(IF(0=LEN(ReferenceData!$AW$9),"",ReferenceData!$AW$9),"")</f>
        <v>2399.1909999999998</v>
      </c>
      <c r="AX9">
        <f ca="1">IFERROR(IF(0=LEN(ReferenceData!$AX$9),"",ReferenceData!$AX$9),"")</f>
        <v>2395.1680000000001</v>
      </c>
      <c r="AY9">
        <f ca="1">IFERROR(IF(0=LEN(ReferenceData!$AY$9),"",ReferenceData!$AY$9),"")</f>
        <v>2343.6019999999999</v>
      </c>
      <c r="AZ9">
        <f ca="1">IFERROR(IF(0=LEN(ReferenceData!$AZ$9),"",ReferenceData!$AZ$9),"")</f>
        <v>2349.2399999999998</v>
      </c>
      <c r="BA9">
        <f ca="1">IFERROR(IF(0=LEN(ReferenceData!$BA$9),"",ReferenceData!$BA$9),"")</f>
        <v>2285.116</v>
      </c>
      <c r="BB9">
        <f ca="1">IFERROR(IF(0=LEN(ReferenceData!$BB$9),"",ReferenceData!$BB$9),"")</f>
        <v>2261.4029999999998</v>
      </c>
      <c r="BC9">
        <f ca="1">IFERROR(IF(0=LEN(ReferenceData!$BC$9),"",ReferenceData!$BC$9),"")</f>
        <v>2255.9290000000001</v>
      </c>
      <c r="BD9">
        <f ca="1">IFERROR(IF(0=LEN(ReferenceData!$BD$9),"",ReferenceData!$BD$9),"")</f>
        <v>2237.498</v>
      </c>
      <c r="BE9">
        <f ca="1">IFERROR(IF(0=LEN(ReferenceData!$BE$9),"",ReferenceData!$BE$9),"")</f>
        <v>2227.7339999999999</v>
      </c>
      <c r="BF9">
        <f ca="1">IFERROR(IF(0=LEN(ReferenceData!$BF$9),"",ReferenceData!$BF$9),"")</f>
        <v>2215.5859999999998</v>
      </c>
      <c r="BG9">
        <f ca="1">IFERROR(IF(0=LEN(ReferenceData!$BG$9),"",ReferenceData!$BG$9),"")</f>
        <v>2189.9810000000002</v>
      </c>
      <c r="BH9">
        <f ca="1">IFERROR(IF(0=LEN(ReferenceData!$BH$9),"",ReferenceData!$BH$9),"")</f>
        <v>2150.123</v>
      </c>
      <c r="BI9">
        <f ca="1">IFERROR(IF(0=LEN(ReferenceData!$BI$9),"",ReferenceData!$BI$9),"")</f>
        <v>2156.7930000000001</v>
      </c>
      <c r="BJ9">
        <f ca="1">IFERROR(IF(0=LEN(ReferenceData!$BJ$9),"",ReferenceData!$BJ$9),"")</f>
        <v>2116.1320000000001</v>
      </c>
      <c r="BK9">
        <f ca="1">IFERROR(IF(0=LEN(ReferenceData!$BK$9),"",ReferenceData!$BK$9),"")</f>
        <v>2040.4069999999999</v>
      </c>
      <c r="BL9">
        <f ca="1">IFERROR(IF(0=LEN(ReferenceData!$BL$9),"",ReferenceData!$BL$9),"")</f>
        <v>1972.116</v>
      </c>
      <c r="BM9">
        <f ca="1">IFERROR(IF(0=LEN(ReferenceData!$BM$9),"",ReferenceData!$BM$9),"")</f>
        <v>1877.2529999999999</v>
      </c>
    </row>
    <row r="10" spans="1:65" x14ac:dyDescent="0.25">
      <c r="A10" t="str">
        <f>IFERROR(IF(0=LEN(ReferenceData!$A$10),"",ReferenceData!$A$10),"")</f>
        <v xml:space="preserve">        Imports</v>
      </c>
      <c r="B10" t="str">
        <f>IFERROR(IF(0=LEN(ReferenceData!$B$10),"",ReferenceData!$B$10),"")</f>
        <v>GDP$IMP Index</v>
      </c>
      <c r="C10" t="str">
        <f>IFERROR(IF(0=LEN(ReferenceData!$C$10),"",ReferenceData!$C$10),"")</f>
        <v>PR005</v>
      </c>
      <c r="D10" t="str">
        <f>IFERROR(IF(0=LEN(ReferenceData!$D$10),"",ReferenceData!$D$10),"")</f>
        <v>PX_LAST</v>
      </c>
      <c r="E10" t="str">
        <f>IFERROR(IF(0=LEN(ReferenceData!$E$10),"",ReferenceData!$E$10),"")</f>
        <v>Dynamic</v>
      </c>
      <c r="F10">
        <f ca="1">IFERROR(IF(0=LEN(ReferenceData!$F$10),"",ReferenceData!$F$10),"")</f>
        <v>4114.33</v>
      </c>
      <c r="G10">
        <f ca="1">IFERROR(IF(0=LEN(ReferenceData!$G$10),"",ReferenceData!$G$10),"")</f>
        <v>4511.5540000000001</v>
      </c>
      <c r="H10">
        <f ca="1">IFERROR(IF(0=LEN(ReferenceData!$H$10),"",ReferenceData!$H$10),"")</f>
        <v>4141.0129999999999</v>
      </c>
      <c r="I10">
        <f ca="1">IFERROR(IF(0=LEN(ReferenceData!$I$10),"",ReferenceData!$I$10),"")</f>
        <v>4163.9750000000004</v>
      </c>
      <c r="J10">
        <f ca="1">IFERROR(IF(0=LEN(ReferenceData!$J$10),"",ReferenceData!$J$10),"")</f>
        <v>4061.192</v>
      </c>
      <c r="K10">
        <f ca="1">IFERROR(IF(0=LEN(ReferenceData!$K$10),"",ReferenceData!$K$10),"")</f>
        <v>3966.989</v>
      </c>
      <c r="L10">
        <f ca="1">IFERROR(IF(0=LEN(ReferenceData!$L$10),"",ReferenceData!$L$10),"")</f>
        <v>3882.8989999999999</v>
      </c>
      <c r="M10">
        <f ca="1">IFERROR(IF(0=LEN(ReferenceData!$M$10),"",ReferenceData!$M$10),"")</f>
        <v>3843.1320000000001</v>
      </c>
      <c r="N10">
        <f ca="1">IFERROR(IF(0=LEN(ReferenceData!$N$10),"",ReferenceData!$N$10),"")</f>
        <v>3799.0030000000002</v>
      </c>
      <c r="O10">
        <f ca="1">IFERROR(IF(0=LEN(ReferenceData!$O$10),"",ReferenceData!$O$10),"")</f>
        <v>3874.21</v>
      </c>
      <c r="P10">
        <f ca="1">IFERROR(IF(0=LEN(ReferenceData!$P$10),"",ReferenceData!$P$10),"")</f>
        <v>3897.402</v>
      </c>
      <c r="Q10">
        <f ca="1">IFERROR(IF(0=LEN(ReferenceData!$Q$10),"",ReferenceData!$Q$10),"")</f>
        <v>3988.4470000000001</v>
      </c>
      <c r="R10">
        <f ca="1">IFERROR(IF(0=LEN(ReferenceData!$R$10),"",ReferenceData!$R$10),"")</f>
        <v>4093.663</v>
      </c>
      <c r="S10">
        <f ca="1">IFERROR(IF(0=LEN(ReferenceData!$S$10),"",ReferenceData!$S$10),"")</f>
        <v>3925.7420000000002</v>
      </c>
      <c r="T10">
        <f ca="1">IFERROR(IF(0=LEN(ReferenceData!$T$10),"",ReferenceData!$T$10),"")</f>
        <v>3685.9560000000001</v>
      </c>
      <c r="U10">
        <f ca="1">IFERROR(IF(0=LEN(ReferenceData!$U$10),"",ReferenceData!$U$10),"")</f>
        <v>3458.7829999999999</v>
      </c>
      <c r="V10">
        <f ca="1">IFERROR(IF(0=LEN(ReferenceData!$V$10),"",ReferenceData!$V$10),"")</f>
        <v>3340.114</v>
      </c>
      <c r="W10">
        <f ca="1">IFERROR(IF(0=LEN(ReferenceData!$W$10),"",ReferenceData!$W$10),"")</f>
        <v>3176.982</v>
      </c>
      <c r="X10">
        <f ca="1">IFERROR(IF(0=LEN(ReferenceData!$X$10),"",ReferenceData!$X$10),"")</f>
        <v>3027.1990000000001</v>
      </c>
      <c r="Y10">
        <f ca="1">IFERROR(IF(0=LEN(ReferenceData!$Y$10),"",ReferenceData!$Y$10),"")</f>
        <v>2801.482</v>
      </c>
      <c r="Z10">
        <f ca="1">IFERROR(IF(0=LEN(ReferenceData!$Z$10),"",ReferenceData!$Z$10),"")</f>
        <v>2350.9259999999999</v>
      </c>
      <c r="AA10">
        <f ca="1">IFERROR(IF(0=LEN(ReferenceData!$AA$10),"",ReferenceData!$AA$10),"")</f>
        <v>2929.759</v>
      </c>
      <c r="AB10">
        <f ca="1">IFERROR(IF(0=LEN(ReferenceData!$AB$10),"",ReferenceData!$AB$10),"")</f>
        <v>3050.8240000000001</v>
      </c>
      <c r="AC10">
        <f ca="1">IFERROR(IF(0=LEN(ReferenceData!$AC$10),"",ReferenceData!$AC$10),"")</f>
        <v>3117.9520000000002</v>
      </c>
      <c r="AD10">
        <f ca="1">IFERROR(IF(0=LEN(ReferenceData!$AD$10),"",ReferenceData!$AD$10),"")</f>
        <v>3165.41</v>
      </c>
      <c r="AE10">
        <f ca="1">IFERROR(IF(0=LEN(ReferenceData!$AE$10),"",ReferenceData!$AE$10),"")</f>
        <v>3132.5390000000002</v>
      </c>
      <c r="AF10">
        <f ca="1">IFERROR(IF(0=LEN(ReferenceData!$AF$10),"",ReferenceData!$AF$10),"")</f>
        <v>3171.6219999999998</v>
      </c>
      <c r="AG10">
        <f ca="1">IFERROR(IF(0=LEN(ReferenceData!$AG$10),"",ReferenceData!$AG$10),"")</f>
        <v>3153.7469999999998</v>
      </c>
      <c r="AH10">
        <f ca="1">IFERROR(IF(0=LEN(ReferenceData!$AH$10),"",ReferenceData!$AH$10),"")</f>
        <v>3105.9949999999999</v>
      </c>
      <c r="AI10">
        <f ca="1">IFERROR(IF(0=LEN(ReferenceData!$AI$10),"",ReferenceData!$AI$10),"")</f>
        <v>3093.299</v>
      </c>
      <c r="AJ10">
        <f ca="1">IFERROR(IF(0=LEN(ReferenceData!$AJ$10),"",ReferenceData!$AJ$10),"")</f>
        <v>3034.0039999999999</v>
      </c>
      <c r="AK10">
        <f ca="1">IFERROR(IF(0=LEN(ReferenceData!$AK$10),"",ReferenceData!$AK$10),"")</f>
        <v>2916.0219999999999</v>
      </c>
      <c r="AL10">
        <f ca="1">IFERROR(IF(0=LEN(ReferenceData!$AL$10),"",ReferenceData!$AL$10),"")</f>
        <v>2903.18</v>
      </c>
      <c r="AM10">
        <f ca="1">IFERROR(IF(0=LEN(ReferenceData!$AM$10),"",ReferenceData!$AM$10),"")</f>
        <v>2873.1480000000001</v>
      </c>
      <c r="AN10">
        <f ca="1">IFERROR(IF(0=LEN(ReferenceData!$AN$10),"",ReferenceData!$AN$10),"")</f>
        <v>2799.145</v>
      </c>
      <c r="AO10">
        <f ca="1">IFERROR(IF(0=LEN(ReferenceData!$AO$10),"",ReferenceData!$AO$10),"")</f>
        <v>2751.2289999999998</v>
      </c>
      <c r="AP10">
        <f ca="1">IFERROR(IF(0=LEN(ReferenceData!$AP$10),"",ReferenceData!$AP$10),"")</f>
        <v>2711.306</v>
      </c>
      <c r="AQ10">
        <f ca="1">IFERROR(IF(0=LEN(ReferenceData!$AQ$10),"",ReferenceData!$AQ$10),"")</f>
        <v>2693.6390000000001</v>
      </c>
      <c r="AR10">
        <f ca="1">IFERROR(IF(0=LEN(ReferenceData!$AR$10),"",ReferenceData!$AR$10),"")</f>
        <v>2745.5169999999998</v>
      </c>
      <c r="AS10">
        <f ca="1">IFERROR(IF(0=LEN(ReferenceData!$AS$10),"",ReferenceData!$AS$10),"")</f>
        <v>2798.806</v>
      </c>
      <c r="AT10">
        <f ca="1">IFERROR(IF(0=LEN(ReferenceData!$AT$10),"",ReferenceData!$AT$10),"")</f>
        <v>2809.9679999999998</v>
      </c>
      <c r="AU10">
        <f ca="1">IFERROR(IF(0=LEN(ReferenceData!$AU$10),"",ReferenceData!$AU$10),"")</f>
        <v>2825.4760000000001</v>
      </c>
      <c r="AV10">
        <f ca="1">IFERROR(IF(0=LEN(ReferenceData!$AV$10),"",ReferenceData!$AV$10),"")</f>
        <v>2906.9690000000001</v>
      </c>
      <c r="AW10">
        <f ca="1">IFERROR(IF(0=LEN(ReferenceData!$AW$10),"",ReferenceData!$AW$10),"")</f>
        <v>2888.549</v>
      </c>
      <c r="AX10">
        <f ca="1">IFERROR(IF(0=LEN(ReferenceData!$AX$10),"",ReferenceData!$AX$10),"")</f>
        <v>2900.5720000000001</v>
      </c>
      <c r="AY10">
        <f ca="1">IFERROR(IF(0=LEN(ReferenceData!$AY$10),"",ReferenceData!$AY$10),"")</f>
        <v>2853.69</v>
      </c>
      <c r="AZ10">
        <f ca="1">IFERROR(IF(0=LEN(ReferenceData!$AZ$10),"",ReferenceData!$AZ$10),"")</f>
        <v>2783.259</v>
      </c>
      <c r="BA10">
        <f ca="1">IFERROR(IF(0=LEN(ReferenceData!$BA$10),"",ReferenceData!$BA$10),"")</f>
        <v>2767.183</v>
      </c>
      <c r="BB10">
        <f ca="1">IFERROR(IF(0=LEN(ReferenceData!$BB$10),"",ReferenceData!$BB$10),"")</f>
        <v>2759.7829999999999</v>
      </c>
      <c r="BC10">
        <f ca="1">IFERROR(IF(0=LEN(ReferenceData!$BC$10),"",ReferenceData!$BC$10),"")</f>
        <v>2755.277</v>
      </c>
      <c r="BD10">
        <f ca="1">IFERROR(IF(0=LEN(ReferenceData!$BD$10),"",ReferenceData!$BD$10),"")</f>
        <v>2753.373</v>
      </c>
      <c r="BE10">
        <f ca="1">IFERROR(IF(0=LEN(ReferenceData!$BE$10),"",ReferenceData!$BE$10),"")</f>
        <v>2750.817</v>
      </c>
      <c r="BF10">
        <f ca="1">IFERROR(IF(0=LEN(ReferenceData!$BF$10),"",ReferenceData!$BF$10),"")</f>
        <v>2780.8270000000002</v>
      </c>
      <c r="BG10">
        <f ca="1">IFERROR(IF(0=LEN(ReferenceData!$BG$10),"",ReferenceData!$BG$10),"")</f>
        <v>2792.2530000000002</v>
      </c>
      <c r="BH10">
        <f ca="1">IFERROR(IF(0=LEN(ReferenceData!$BH$10),"",ReferenceData!$BH$10),"")</f>
        <v>2751.9110000000001</v>
      </c>
      <c r="BI10">
        <f ca="1">IFERROR(IF(0=LEN(ReferenceData!$BI$10),"",ReferenceData!$BI$10),"")</f>
        <v>2723.9029999999998</v>
      </c>
      <c r="BJ10">
        <f ca="1">IFERROR(IF(0=LEN(ReferenceData!$BJ$10),"",ReferenceData!$BJ$10),"")</f>
        <v>2697.2240000000002</v>
      </c>
      <c r="BK10">
        <f ca="1">IFERROR(IF(0=LEN(ReferenceData!$BK$10),"",ReferenceData!$BK$10),"")</f>
        <v>2608.884</v>
      </c>
      <c r="BL10">
        <f ca="1">IFERROR(IF(0=LEN(ReferenceData!$BL$10),"",ReferenceData!$BL$10),"")</f>
        <v>2495.7020000000002</v>
      </c>
      <c r="BM10">
        <f ca="1">IFERROR(IF(0=LEN(ReferenceData!$BM$10),"",ReferenceData!$BM$10),"")</f>
        <v>2431.1950000000002</v>
      </c>
    </row>
    <row r="11" spans="1:65" x14ac:dyDescent="0.25">
      <c r="A11" t="str">
        <f>IFERROR(IF(0=LEN(ReferenceData!$A$11),"",ReferenceData!$A$11),"")</f>
        <v>Western Europe (Bil.) - Euro Area (EUR)</v>
      </c>
      <c r="B11" t="str">
        <f>IFERROR(IF(0=LEN(ReferenceData!$B$11),"",ReferenceData!$B$11),"")</f>
        <v>EUGDEMU Index</v>
      </c>
      <c r="C11" t="str">
        <f>IFERROR(IF(0=LEN(ReferenceData!$C$11),"",ReferenceData!$C$11),"")</f>
        <v/>
      </c>
      <c r="D11" t="str">
        <f>IFERROR(IF(0=LEN(ReferenceData!$D$11),"",ReferenceData!$D$11),"")</f>
        <v/>
      </c>
      <c r="E11" t="str">
        <f>IFERROR(IF(0=LEN(ReferenceData!$E$11),"",ReferenceData!$E$11),"")</f>
        <v>Expression</v>
      </c>
      <c r="F11" t="str">
        <f ca="1">IFERROR(IF(0=LEN(ReferenceData!$F$11),"",ReferenceData!$F$11),"")</f>
        <v/>
      </c>
      <c r="G11">
        <f ca="1">IFERROR(IF(0=LEN(ReferenceData!$G$11),"",ReferenceData!$G$11),"")</f>
        <v>3885.9884999999999</v>
      </c>
      <c r="H11">
        <f ca="1">IFERROR(IF(0=LEN(ReferenceData!$H$11),"",ReferenceData!$H$11),"")</f>
        <v>3852.7020000000002</v>
      </c>
      <c r="I11">
        <f ca="1">IFERROR(IF(0=LEN(ReferenceData!$I$11),"",ReferenceData!$I$11),"")</f>
        <v>3807.5192999999999</v>
      </c>
      <c r="J11">
        <f ca="1">IFERROR(IF(0=LEN(ReferenceData!$J$11),"",ReferenceData!$J$11),"")</f>
        <v>3772.4072999999999</v>
      </c>
      <c r="K11">
        <f ca="1">IFERROR(IF(0=LEN(ReferenceData!$K$11),"",ReferenceData!$K$11),"")</f>
        <v>3743.2064999999998</v>
      </c>
      <c r="L11">
        <f ca="1">IFERROR(IF(0=LEN(ReferenceData!$L$11),"",ReferenceData!$L$11),"")</f>
        <v>3708.0970000000002</v>
      </c>
      <c r="M11">
        <f ca="1">IFERROR(IF(0=LEN(ReferenceData!$M$11),"",ReferenceData!$M$11),"")</f>
        <v>3667.9544999999998</v>
      </c>
      <c r="N11">
        <f ca="1">IFERROR(IF(0=LEN(ReferenceData!$N$11),"",ReferenceData!$N$11),"")</f>
        <v>3640.3645000000001</v>
      </c>
      <c r="O11">
        <f ca="1">IFERROR(IF(0=LEN(ReferenceData!$O$11),"",ReferenceData!$O$11),"")</f>
        <v>3592.8278</v>
      </c>
      <c r="P11">
        <f ca="1">IFERROR(IF(0=LEN(ReferenceData!$P$11),"",ReferenceData!$P$11),"")</f>
        <v>3527.2651999999998</v>
      </c>
      <c r="Q11">
        <f ca="1">IFERROR(IF(0=LEN(ReferenceData!$Q$11),"",ReferenceData!$Q$11),"")</f>
        <v>3460.6640000000002</v>
      </c>
      <c r="R11">
        <f ca="1">IFERROR(IF(0=LEN(ReferenceData!$R$11),"",ReferenceData!$R$11),"")</f>
        <v>3399.6502999999998</v>
      </c>
      <c r="S11">
        <f ca="1">IFERROR(IF(0=LEN(ReferenceData!$S$11),"",ReferenceData!$S$11),"")</f>
        <v>3326.8777</v>
      </c>
      <c r="T11">
        <f ca="1">IFERROR(IF(0=LEN(ReferenceData!$T$11),"",ReferenceData!$T$11),"")</f>
        <v>3263.3072000000002</v>
      </c>
      <c r="U11">
        <f ca="1">IFERROR(IF(0=LEN(ReferenceData!$U$11),"",ReferenceData!$U$11),"")</f>
        <v>3199.6136999999999</v>
      </c>
      <c r="V11">
        <f ca="1">IFERROR(IF(0=LEN(ReferenceData!$V$11),"",ReferenceData!$V$11),"")</f>
        <v>3105.8168999999998</v>
      </c>
      <c r="W11">
        <f ca="1">IFERROR(IF(0=LEN(ReferenceData!$W$11),"",ReferenceData!$W$11),"")</f>
        <v>3028.6187</v>
      </c>
      <c r="X11">
        <f ca="1">IFERROR(IF(0=LEN(ReferenceData!$X$11),"",ReferenceData!$X$11),"")</f>
        <v>2992.5549000000001</v>
      </c>
      <c r="Y11">
        <f ca="1">IFERROR(IF(0=LEN(ReferenceData!$Y$11),"",ReferenceData!$Y$11),"")</f>
        <v>2958.6417999999999</v>
      </c>
      <c r="Z11">
        <f ca="1">IFERROR(IF(0=LEN(ReferenceData!$Z$11),"",ReferenceData!$Z$11),"")</f>
        <v>2678.0275000000001</v>
      </c>
      <c r="AA11">
        <f ca="1">IFERROR(IF(0=LEN(ReferenceData!$AA$11),"",ReferenceData!$AA$11),"")</f>
        <v>2976.8247999999999</v>
      </c>
      <c r="AB11">
        <f ca="1">IFERROR(IF(0=LEN(ReferenceData!$AB$11),"",ReferenceData!$AB$11),"")</f>
        <v>3065.2431999999999</v>
      </c>
      <c r="AC11">
        <f ca="1">IFERROR(IF(0=LEN(ReferenceData!$AC$11),"",ReferenceData!$AC$11),"")</f>
        <v>3048.1264999999999</v>
      </c>
      <c r="AD11">
        <f ca="1">IFERROR(IF(0=LEN(ReferenceData!$AD$11),"",ReferenceData!$AD$11),"")</f>
        <v>3027.6761999999999</v>
      </c>
      <c r="AE11">
        <f ca="1">IFERROR(IF(0=LEN(ReferenceData!$AE$11),"",ReferenceData!$AE$11),"")</f>
        <v>3006.5916000000002</v>
      </c>
      <c r="AF11">
        <f ca="1">IFERROR(IF(0=LEN(ReferenceData!$AF$11),"",ReferenceData!$AF$11),"")</f>
        <v>2975.5677999999998</v>
      </c>
      <c r="AG11">
        <f ca="1">IFERROR(IF(0=LEN(ReferenceData!$AG$11),"",ReferenceData!$AG$11),"")</f>
        <v>2943.8759</v>
      </c>
      <c r="AH11">
        <f ca="1">IFERROR(IF(0=LEN(ReferenceData!$AH$11),"",ReferenceData!$AH$11),"")</f>
        <v>2926.8874000000001</v>
      </c>
      <c r="AI11">
        <f ca="1">IFERROR(IF(0=LEN(ReferenceData!$AI$11),"",ReferenceData!$AI$11),"")</f>
        <v>2904.8177000000001</v>
      </c>
      <c r="AJ11">
        <f ca="1">IFERROR(IF(0=LEN(ReferenceData!$AJ$11),"",ReferenceData!$AJ$11),"")</f>
        <v>2889.9533000000001</v>
      </c>
      <c r="AK11">
        <f ca="1">IFERROR(IF(0=LEN(ReferenceData!$AK$11),"",ReferenceData!$AK$11),"")</f>
        <v>2856.9899</v>
      </c>
      <c r="AL11">
        <f ca="1">IFERROR(IF(0=LEN(ReferenceData!$AL$11),"",ReferenceData!$AL$11),"")</f>
        <v>2830.3411999999998</v>
      </c>
      <c r="AM11">
        <f ca="1">IFERROR(IF(0=LEN(ReferenceData!$AM$11),"",ReferenceData!$AM$11),"")</f>
        <v>2798.8087</v>
      </c>
      <c r="AN11">
        <f ca="1">IFERROR(IF(0=LEN(ReferenceData!$AN$11),"",ReferenceData!$AN$11),"")</f>
        <v>2766.2285999999999</v>
      </c>
      <c r="AO11">
        <f ca="1">IFERROR(IF(0=LEN(ReferenceData!$AO$11),"",ReferenceData!$AO$11),"")</f>
        <v>2743.7321999999999</v>
      </c>
      <c r="AP11">
        <f ca="1">IFERROR(IF(0=LEN(ReferenceData!$AP$11),"",ReferenceData!$AP$11),"")</f>
        <v>2723.8741</v>
      </c>
      <c r="AQ11">
        <f ca="1">IFERROR(IF(0=LEN(ReferenceData!$AQ$11),"",ReferenceData!$AQ$11),"")</f>
        <v>2713.3993999999998</v>
      </c>
      <c r="AR11">
        <f ca="1">IFERROR(IF(0=LEN(ReferenceData!$AR$11),"",ReferenceData!$AR$11),"")</f>
        <v>2693.0785999999998</v>
      </c>
      <c r="AS11">
        <f ca="1">IFERROR(IF(0=LEN(ReferenceData!$AS$11),"",ReferenceData!$AS$11),"")</f>
        <v>2676.4627</v>
      </c>
      <c r="AT11">
        <f ca="1">IFERROR(IF(0=LEN(ReferenceData!$AT$11),"",ReferenceData!$AT$11),"")</f>
        <v>2656.2975000000001</v>
      </c>
      <c r="AU11">
        <f ca="1">IFERROR(IF(0=LEN(ReferenceData!$AU$11),"",ReferenceData!$AU$11),"")</f>
        <v>2633.1903000000002</v>
      </c>
      <c r="AV11">
        <f ca="1">IFERROR(IF(0=LEN(ReferenceData!$AV$11),"",ReferenceData!$AV$11),"")</f>
        <v>2601.3535000000002</v>
      </c>
      <c r="AW11">
        <f ca="1">IFERROR(IF(0=LEN(ReferenceData!$AW$11),"",ReferenceData!$AW$11),"")</f>
        <v>2583.9663</v>
      </c>
      <c r="AX11">
        <f ca="1">IFERROR(IF(0=LEN(ReferenceData!$AX$11),"",ReferenceData!$AX$11),"")</f>
        <v>2567.4387999999999</v>
      </c>
      <c r="AY11">
        <f ca="1">IFERROR(IF(0=LEN(ReferenceData!$AY$11),"",ReferenceData!$AY$11),"")</f>
        <v>2555.6487000000002</v>
      </c>
      <c r="AZ11">
        <f ca="1">IFERROR(IF(0=LEN(ReferenceData!$AZ$11),"",ReferenceData!$AZ$11),"")</f>
        <v>2532.5553</v>
      </c>
      <c r="BA11">
        <f ca="1">IFERROR(IF(0=LEN(ReferenceData!$BA$11),"",ReferenceData!$BA$11),"")</f>
        <v>2525.3384000000001</v>
      </c>
      <c r="BB11">
        <f ca="1">IFERROR(IF(0=LEN(ReferenceData!$BB$11),"",ReferenceData!$BB$11),"")</f>
        <v>2514.8829999999998</v>
      </c>
      <c r="BC11">
        <f ca="1">IFERROR(IF(0=LEN(ReferenceData!$BC$11),"",ReferenceData!$BC$11),"")</f>
        <v>2492.6291000000001</v>
      </c>
      <c r="BD11">
        <f ca="1">IFERROR(IF(0=LEN(ReferenceData!$BD$11),"",ReferenceData!$BD$11),"")</f>
        <v>2486.9180000000001</v>
      </c>
      <c r="BE11">
        <f ca="1">IFERROR(IF(0=LEN(ReferenceData!$BE$11),"",ReferenceData!$BE$11),"")</f>
        <v>2492.9425999999999</v>
      </c>
      <c r="BF11">
        <f ca="1">IFERROR(IF(0=LEN(ReferenceData!$BF$11),"",ReferenceData!$BF$11),"")</f>
        <v>2485.9025999999999</v>
      </c>
      <c r="BG11">
        <f ca="1">IFERROR(IF(0=LEN(ReferenceData!$BG$11),"",ReferenceData!$BG$11),"")</f>
        <v>2487.8690000000001</v>
      </c>
      <c r="BH11">
        <f ca="1">IFERROR(IF(0=LEN(ReferenceData!$BH$11),"",ReferenceData!$BH$11),"")</f>
        <v>2484.4286999999999</v>
      </c>
      <c r="BI11">
        <f ca="1">IFERROR(IF(0=LEN(ReferenceData!$BI$11),"",ReferenceData!$BI$11),"")</f>
        <v>2485.1313</v>
      </c>
      <c r="BJ11">
        <f ca="1">IFERROR(IF(0=LEN(ReferenceData!$BJ$11),"",ReferenceData!$BJ$11),"")</f>
        <v>2476.8836999999999</v>
      </c>
      <c r="BK11">
        <f ca="1">IFERROR(IF(0=LEN(ReferenceData!$BK$11),"",ReferenceData!$BK$11),"")</f>
        <v>2472.0133000000001</v>
      </c>
      <c r="BL11">
        <f ca="1">IFERROR(IF(0=LEN(ReferenceData!$BL$11),"",ReferenceData!$BL$11),"")</f>
        <v>2439.4036000000001</v>
      </c>
      <c r="BM11">
        <f ca="1">IFERROR(IF(0=LEN(ReferenceData!$BM$11),"",ReferenceData!$BM$11),"")</f>
        <v>2420.9213</v>
      </c>
    </row>
    <row r="12" spans="1:65" x14ac:dyDescent="0.25">
      <c r="A12" t="str">
        <f>IFERROR(IF(0=LEN(ReferenceData!$A$12),"",ReferenceData!$A$12),"")</f>
        <v xml:space="preserve">        Final Consumption Expenditure</v>
      </c>
      <c r="B12" t="str">
        <f>IFERROR(IF(0=LEN(ReferenceData!$B$12),"",ReferenceData!$B$12),"")</f>
        <v>ENFCEAS Index</v>
      </c>
      <c r="C12" t="str">
        <f>IFERROR(IF(0=LEN(ReferenceData!$C$12),"",ReferenceData!$C$12),"")</f>
        <v/>
      </c>
      <c r="D12" t="str">
        <f>IFERROR(IF(0=LEN(ReferenceData!$D$12),"",ReferenceData!$D$12),"")</f>
        <v/>
      </c>
      <c r="E12" t="str">
        <f>IFERROR(IF(0=LEN(ReferenceData!$E$12),"",ReferenceData!$E$12),"")</f>
        <v>Expression</v>
      </c>
      <c r="F12" t="str">
        <f ca="1">IFERROR(IF(0=LEN(ReferenceData!$F$12),"",ReferenceData!$F$12),"")</f>
        <v/>
      </c>
      <c r="G12">
        <f ca="1">IFERROR(IF(0=LEN(ReferenceData!$G$12),"",ReferenceData!$G$12),"")</f>
        <v>2888.1282000000001</v>
      </c>
      <c r="H12">
        <f ca="1">IFERROR(IF(0=LEN(ReferenceData!$H$12),"",ReferenceData!$H$12),"")</f>
        <v>2858.7927</v>
      </c>
      <c r="I12">
        <f ca="1">IFERROR(IF(0=LEN(ReferenceData!$I$12),"",ReferenceData!$I$12),"")</f>
        <v>2834.7721000000001</v>
      </c>
      <c r="J12">
        <f ca="1">IFERROR(IF(0=LEN(ReferenceData!$J$12),"",ReferenceData!$J$12),"")</f>
        <v>2805.52</v>
      </c>
      <c r="K12">
        <f ca="1">IFERROR(IF(0=LEN(ReferenceData!$K$12),"",ReferenceData!$K$12),"")</f>
        <v>2780.9173000000001</v>
      </c>
      <c r="L12">
        <f ca="1">IFERROR(IF(0=LEN(ReferenceData!$L$12),"",ReferenceData!$L$12),"")</f>
        <v>2752.5781000000002</v>
      </c>
      <c r="M12">
        <f ca="1">IFERROR(IF(0=LEN(ReferenceData!$M$12),"",ReferenceData!$M$12),"")</f>
        <v>2723.3114</v>
      </c>
      <c r="N12">
        <f ca="1">IFERROR(IF(0=LEN(ReferenceData!$N$12),"",ReferenceData!$N$12),"")</f>
        <v>2693.8128999999999</v>
      </c>
      <c r="O12">
        <f ca="1">IFERROR(IF(0=LEN(ReferenceData!$O$12),"",ReferenceData!$O$12),"")</f>
        <v>2657.7057</v>
      </c>
      <c r="P12">
        <f ca="1">IFERROR(IF(0=LEN(ReferenceData!$P$12),"",ReferenceData!$P$12),"")</f>
        <v>2620.6016</v>
      </c>
      <c r="Q12">
        <f ca="1">IFERROR(IF(0=LEN(ReferenceData!$Q$12),"",ReferenceData!$Q$12),"")</f>
        <v>2576.7203</v>
      </c>
      <c r="R12">
        <f ca="1">IFERROR(IF(0=LEN(ReferenceData!$R$12),"",ReferenceData!$R$12),"")</f>
        <v>2517.643</v>
      </c>
      <c r="S12">
        <f ca="1">IFERROR(IF(0=LEN(ReferenceData!$S$12),"",ReferenceData!$S$12),"")</f>
        <v>2458.7145</v>
      </c>
      <c r="T12">
        <f ca="1">IFERROR(IF(0=LEN(ReferenceData!$T$12),"",ReferenceData!$T$12),"")</f>
        <v>2401.0250000000001</v>
      </c>
      <c r="U12">
        <f ca="1">IFERROR(IF(0=LEN(ReferenceData!$U$12),"",ReferenceData!$U$12),"")</f>
        <v>2360.2404999999999</v>
      </c>
      <c r="V12">
        <f ca="1">IFERROR(IF(0=LEN(ReferenceData!$V$12),"",ReferenceData!$V$12),"")</f>
        <v>2277.7042000000001</v>
      </c>
      <c r="W12">
        <f ca="1">IFERROR(IF(0=LEN(ReferenceData!$W$12),"",ReferenceData!$W$12),"")</f>
        <v>2196.5320999999999</v>
      </c>
      <c r="X12">
        <f ca="1">IFERROR(IF(0=LEN(ReferenceData!$X$12),"",ReferenceData!$X$12),"")</f>
        <v>2192.7202000000002</v>
      </c>
      <c r="Y12">
        <f ca="1">IFERROR(IF(0=LEN(ReferenceData!$Y$12),"",ReferenceData!$Y$12),"")</f>
        <v>2221.9214000000002</v>
      </c>
      <c r="Z12">
        <f ca="1">IFERROR(IF(0=LEN(ReferenceData!$Z$12),"",ReferenceData!$Z$12),"")</f>
        <v>2019.9591</v>
      </c>
      <c r="AA12">
        <f ca="1">IFERROR(IF(0=LEN(ReferenceData!$AA$12),"",ReferenceData!$AA$12),"")</f>
        <v>2204.7460999999998</v>
      </c>
      <c r="AB12">
        <f ca="1">IFERROR(IF(0=LEN(ReferenceData!$AB$12),"",ReferenceData!$AB$12),"")</f>
        <v>2273.1354999999999</v>
      </c>
      <c r="AC12">
        <f ca="1">IFERROR(IF(0=LEN(ReferenceData!$AC$12),"",ReferenceData!$AC$12),"")</f>
        <v>2262.4059999999999</v>
      </c>
      <c r="AD12">
        <f ca="1">IFERROR(IF(0=LEN(ReferenceData!$AD$12),"",ReferenceData!$AD$12),"")</f>
        <v>2243.8447999999999</v>
      </c>
      <c r="AE12">
        <f ca="1">IFERROR(IF(0=LEN(ReferenceData!$AE$12),"",ReferenceData!$AE$12),"")</f>
        <v>2223.8868000000002</v>
      </c>
      <c r="AF12">
        <f ca="1">IFERROR(IF(0=LEN(ReferenceData!$AF$12),"",ReferenceData!$AF$12),"")</f>
        <v>2211.9023000000002</v>
      </c>
      <c r="AG12">
        <f ca="1">IFERROR(IF(0=LEN(ReferenceData!$AG$12),"",ReferenceData!$AG$12),"")</f>
        <v>2192.1088</v>
      </c>
      <c r="AH12">
        <f ca="1">IFERROR(IF(0=LEN(ReferenceData!$AH$12),"",ReferenceData!$AH$12),"")</f>
        <v>2179.0635000000002</v>
      </c>
      <c r="AI12">
        <f ca="1">IFERROR(IF(0=LEN(ReferenceData!$AI$12),"",ReferenceData!$AI$12),"")</f>
        <v>2162.9735000000001</v>
      </c>
      <c r="AJ12">
        <f ca="1">IFERROR(IF(0=LEN(ReferenceData!$AJ$12),"",ReferenceData!$AJ$12),"")</f>
        <v>2146.6709999999998</v>
      </c>
      <c r="AK12">
        <f ca="1">IFERROR(IF(0=LEN(ReferenceData!$AK$12),"",ReferenceData!$AK$12),"")</f>
        <v>2127.6025</v>
      </c>
      <c r="AL12">
        <f ca="1">IFERROR(IF(0=LEN(ReferenceData!$AL$12),"",ReferenceData!$AL$12),"")</f>
        <v>2115.5038</v>
      </c>
      <c r="AM12">
        <f ca="1">IFERROR(IF(0=LEN(ReferenceData!$AM$12),"",ReferenceData!$AM$12),"")</f>
        <v>2097.6107999999999</v>
      </c>
      <c r="AN12">
        <f ca="1">IFERROR(IF(0=LEN(ReferenceData!$AN$12),"",ReferenceData!$AN$12),"")</f>
        <v>2079.8827000000001</v>
      </c>
      <c r="AO12">
        <f ca="1">IFERROR(IF(0=LEN(ReferenceData!$AO$12),"",ReferenceData!$AO$12),"")</f>
        <v>2060.1064000000001</v>
      </c>
      <c r="AP12">
        <f ca="1">IFERROR(IF(0=LEN(ReferenceData!$AP$12),"",ReferenceData!$AP$12),"")</f>
        <v>2046.0933</v>
      </c>
      <c r="AQ12">
        <f ca="1">IFERROR(IF(0=LEN(ReferenceData!$AQ$12),"",ReferenceData!$AQ$12),"")</f>
        <v>2035.5053</v>
      </c>
      <c r="AR12">
        <f ca="1">IFERROR(IF(0=LEN(ReferenceData!$AR$12),"",ReferenceData!$AR$12),"")</f>
        <v>2024.6596</v>
      </c>
      <c r="AS12">
        <f ca="1">IFERROR(IF(0=LEN(ReferenceData!$AS$12),"",ReferenceData!$AS$12),"")</f>
        <v>2014.9929999999999</v>
      </c>
      <c r="AT12">
        <f ca="1">IFERROR(IF(0=LEN(ReferenceData!$AT$12),"",ReferenceData!$AT$12),"")</f>
        <v>2006.2547</v>
      </c>
      <c r="AU12">
        <f ca="1">IFERROR(IF(0=LEN(ReferenceData!$AU$12),"",ReferenceData!$AU$12),"")</f>
        <v>1986.5365999999999</v>
      </c>
      <c r="AV12">
        <f ca="1">IFERROR(IF(0=LEN(ReferenceData!$AV$12),"",ReferenceData!$AV$12),"")</f>
        <v>1981.4085</v>
      </c>
      <c r="AW12">
        <f ca="1">IFERROR(IF(0=LEN(ReferenceData!$AW$12),"",ReferenceData!$AW$12),"")</f>
        <v>1969.5667000000001</v>
      </c>
      <c r="AX12">
        <f ca="1">IFERROR(IF(0=LEN(ReferenceData!$AX$12),"",ReferenceData!$AX$12),"")</f>
        <v>1959.3503000000001</v>
      </c>
      <c r="AY12">
        <f ca="1">IFERROR(IF(0=LEN(ReferenceData!$AY$12),"",ReferenceData!$AY$12),"")</f>
        <v>1952.1088</v>
      </c>
      <c r="AZ12">
        <f ca="1">IFERROR(IF(0=LEN(ReferenceData!$AZ$12),"",ReferenceData!$AZ$12),"")</f>
        <v>1946.3308999999999</v>
      </c>
      <c r="BA12">
        <f ca="1">IFERROR(IF(0=LEN(ReferenceData!$BA$12),"",ReferenceData!$BA$12),"")</f>
        <v>1941.221</v>
      </c>
      <c r="BB12">
        <f ca="1">IFERROR(IF(0=LEN(ReferenceData!$BB$12),"",ReferenceData!$BB$12),"")</f>
        <v>1931.8702000000001</v>
      </c>
      <c r="BC12">
        <f ca="1">IFERROR(IF(0=LEN(ReferenceData!$BC$12),"",ReferenceData!$BC$12),"")</f>
        <v>1924.6826000000001</v>
      </c>
      <c r="BD12">
        <f ca="1">IFERROR(IF(0=LEN(ReferenceData!$BD$12),"",ReferenceData!$BD$12),"")</f>
        <v>1920.0997</v>
      </c>
      <c r="BE12">
        <f ca="1">IFERROR(IF(0=LEN(ReferenceData!$BE$12),"",ReferenceData!$BE$12),"")</f>
        <v>1922.1627000000001</v>
      </c>
      <c r="BF12">
        <f ca="1">IFERROR(IF(0=LEN(ReferenceData!$BF$12),"",ReferenceData!$BF$12),"")</f>
        <v>1919.8425</v>
      </c>
      <c r="BG12">
        <f ca="1">IFERROR(IF(0=LEN(ReferenceData!$BG$12),"",ReferenceData!$BG$12),"")</f>
        <v>1921.5766000000001</v>
      </c>
      <c r="BH12">
        <f ca="1">IFERROR(IF(0=LEN(ReferenceData!$BH$12),"",ReferenceData!$BH$12),"")</f>
        <v>1915.3692000000001</v>
      </c>
      <c r="BI12">
        <f ca="1">IFERROR(IF(0=LEN(ReferenceData!$BI$12),"",ReferenceData!$BI$12),"")</f>
        <v>1911.7589</v>
      </c>
      <c r="BJ12">
        <f ca="1">IFERROR(IF(0=LEN(ReferenceData!$BJ$12),"",ReferenceData!$BJ$12),"")</f>
        <v>1907.5539000000001</v>
      </c>
      <c r="BK12">
        <f ca="1">IFERROR(IF(0=LEN(ReferenceData!$BK$12),"",ReferenceData!$BK$12),"")</f>
        <v>1899.2257</v>
      </c>
      <c r="BL12">
        <f ca="1">IFERROR(IF(0=LEN(ReferenceData!$BL$12),"",ReferenceData!$BL$12),"")</f>
        <v>1889.6495</v>
      </c>
      <c r="BM12">
        <f ca="1">IFERROR(IF(0=LEN(ReferenceData!$BM$12),"",ReferenceData!$BM$12),"")</f>
        <v>1876.8776</v>
      </c>
    </row>
    <row r="13" spans="1:65" x14ac:dyDescent="0.25">
      <c r="A13" t="str">
        <f>IFERROR(IF(0=LEN(ReferenceData!$A$13),"",ReferenceData!$A$13),"")</f>
        <v xml:space="preserve">        Gross Fixed Capital Formation</v>
      </c>
      <c r="B13" t="str">
        <f>IFERROR(IF(0=LEN(ReferenceData!$B$13),"",ReferenceData!$B$13),"")</f>
        <v>ENCPEAS Index</v>
      </c>
      <c r="C13" t="str">
        <f>IFERROR(IF(0=LEN(ReferenceData!$C$13),"",ReferenceData!$C$13),"")</f>
        <v/>
      </c>
      <c r="D13" t="str">
        <f>IFERROR(IF(0=LEN(ReferenceData!$D$13),"",ReferenceData!$D$13),"")</f>
        <v/>
      </c>
      <c r="E13" t="str">
        <f>IFERROR(IF(0=LEN(ReferenceData!$E$13),"",ReferenceData!$E$13),"")</f>
        <v>Expression</v>
      </c>
      <c r="F13" t="str">
        <f ca="1">IFERROR(IF(0=LEN(ReferenceData!$F$13),"",ReferenceData!$F$13),"")</f>
        <v/>
      </c>
      <c r="G13">
        <f ca="1">IFERROR(IF(0=LEN(ReferenceData!$G$13),"",ReferenceData!$G$13),"")</f>
        <v>836.30539999999996</v>
      </c>
      <c r="H13">
        <f ca="1">IFERROR(IF(0=LEN(ReferenceData!$H$13),"",ReferenceData!$H$13),"")</f>
        <v>828.5335</v>
      </c>
      <c r="I13">
        <f ca="1">IFERROR(IF(0=LEN(ReferenceData!$I$13),"",ReferenceData!$I$13),"")</f>
        <v>813.35320000000002</v>
      </c>
      <c r="J13">
        <f ca="1">IFERROR(IF(0=LEN(ReferenceData!$J$13),"",ReferenceData!$J$13),"")</f>
        <v>780.63009999999997</v>
      </c>
      <c r="K13">
        <f ca="1">IFERROR(IF(0=LEN(ReferenceData!$K$13),"",ReferenceData!$K$13),"")</f>
        <v>789.96659999999997</v>
      </c>
      <c r="L13">
        <f ca="1">IFERROR(IF(0=LEN(ReferenceData!$L$13),"",ReferenceData!$L$13),"")</f>
        <v>815.92309999999998</v>
      </c>
      <c r="M13">
        <f ca="1">IFERROR(IF(0=LEN(ReferenceData!$M$13),"",ReferenceData!$M$13),"")</f>
        <v>806.47879999999998</v>
      </c>
      <c r="N13">
        <f ca="1">IFERROR(IF(0=LEN(ReferenceData!$N$13),"",ReferenceData!$N$13),"")</f>
        <v>817.13779999999997</v>
      </c>
      <c r="O13">
        <f ca="1">IFERROR(IF(0=LEN(ReferenceData!$O$13),"",ReferenceData!$O$13),"")</f>
        <v>820.86450000000002</v>
      </c>
      <c r="P13">
        <f ca="1">IFERROR(IF(0=LEN(ReferenceData!$P$13),"",ReferenceData!$P$13),"")</f>
        <v>819.10680000000002</v>
      </c>
      <c r="Q13">
        <f ca="1">IFERROR(IF(0=LEN(ReferenceData!$Q$13),"",ReferenceData!$Q$13),"")</f>
        <v>843.88059999999996</v>
      </c>
      <c r="R13">
        <f ca="1">IFERROR(IF(0=LEN(ReferenceData!$R$13),"",ReferenceData!$R$13),"")</f>
        <v>819.97670000000005</v>
      </c>
      <c r="S13">
        <f ca="1">IFERROR(IF(0=LEN(ReferenceData!$S$13),"",ReferenceData!$S$13),"")</f>
        <v>781.41840000000002</v>
      </c>
      <c r="T13">
        <f ca="1">IFERROR(IF(0=LEN(ReferenceData!$T$13),"",ReferenceData!$T$13),"")</f>
        <v>771.37350000000004</v>
      </c>
      <c r="U13">
        <f ca="1">IFERROR(IF(0=LEN(ReferenceData!$U$13),"",ReferenceData!$U$13),"")</f>
        <v>706.94979999999998</v>
      </c>
      <c r="V13">
        <f ca="1">IFERROR(IF(0=LEN(ReferenceData!$V$13),"",ReferenceData!$V$13),"")</f>
        <v>692.55529999999999</v>
      </c>
      <c r="W13">
        <f ca="1">IFERROR(IF(0=LEN(ReferenceData!$W$13),"",ReferenceData!$W$13),"")</f>
        <v>686.52930000000003</v>
      </c>
      <c r="X13">
        <f ca="1">IFERROR(IF(0=LEN(ReferenceData!$X$13),"",ReferenceData!$X$13),"")</f>
        <v>666.08079999999995</v>
      </c>
      <c r="Y13">
        <f ca="1">IFERROR(IF(0=LEN(ReferenceData!$Y$13),"",ReferenceData!$Y$13),"")</f>
        <v>608.8569</v>
      </c>
      <c r="Z13">
        <f ca="1">IFERROR(IF(0=LEN(ReferenceData!$Z$13),"",ReferenceData!$Z$13),"")</f>
        <v>570.30039999999997</v>
      </c>
      <c r="AA13">
        <f ca="1">IFERROR(IF(0=LEN(ReferenceData!$AA$13),"",ReferenceData!$AA$13),"")</f>
        <v>705.33839999999998</v>
      </c>
      <c r="AB13">
        <f ca="1">IFERROR(IF(0=LEN(ReferenceData!$AB$13),"",ReferenceData!$AB$13),"")</f>
        <v>720.67330000000004</v>
      </c>
      <c r="AC13">
        <f ca="1">IFERROR(IF(0=LEN(ReferenceData!$AC$13),"",ReferenceData!$AC$13),"")</f>
        <v>653.77380000000005</v>
      </c>
      <c r="AD13">
        <f ca="1">IFERROR(IF(0=LEN(ReferenceData!$AD$13),"",ReferenceData!$AD$13),"")</f>
        <v>693.27229999999997</v>
      </c>
      <c r="AE13">
        <f ca="1">IFERROR(IF(0=LEN(ReferenceData!$AE$13),"",ReferenceData!$AE$13),"")</f>
        <v>650.22349999999994</v>
      </c>
      <c r="AF13">
        <f ca="1">IFERROR(IF(0=LEN(ReferenceData!$AF$13),"",ReferenceData!$AF$13),"")</f>
        <v>667.7749</v>
      </c>
      <c r="AG13">
        <f ca="1">IFERROR(IF(0=LEN(ReferenceData!$AG$13),"",ReferenceData!$AG$13),"")</f>
        <v>635.66780000000006</v>
      </c>
      <c r="AH13">
        <f ca="1">IFERROR(IF(0=LEN(ReferenceData!$AH$13),"",ReferenceData!$AH$13),"")</f>
        <v>621.37549999999999</v>
      </c>
      <c r="AI13">
        <f ca="1">IFERROR(IF(0=LEN(ReferenceData!$AI$13),"",ReferenceData!$AI$13),"")</f>
        <v>609.05859999999996</v>
      </c>
      <c r="AJ13">
        <f ca="1">IFERROR(IF(0=LEN(ReferenceData!$AJ$13),"",ReferenceData!$AJ$13),"")</f>
        <v>603.20799999999997</v>
      </c>
      <c r="AK13">
        <f ca="1">IFERROR(IF(0=LEN(ReferenceData!$AK$13),"",ReferenceData!$AK$13),"")</f>
        <v>591.23239999999998</v>
      </c>
      <c r="AL13">
        <f ca="1">IFERROR(IF(0=LEN(ReferenceData!$AL$13),"",ReferenceData!$AL$13),"")</f>
        <v>618.67259999999999</v>
      </c>
      <c r="AM13">
        <f ca="1">IFERROR(IF(0=LEN(ReferenceData!$AM$13),"",ReferenceData!$AM$13),"")</f>
        <v>572.98209999999995</v>
      </c>
      <c r="AN13">
        <f ca="1">IFERROR(IF(0=LEN(ReferenceData!$AN$13),"",ReferenceData!$AN$13),"")</f>
        <v>576.55790000000002</v>
      </c>
      <c r="AO13">
        <f ca="1">IFERROR(IF(0=LEN(ReferenceData!$AO$13),"",ReferenceData!$AO$13),"")</f>
        <v>559.40959999999995</v>
      </c>
      <c r="AP13">
        <f ca="1">IFERROR(IF(0=LEN(ReferenceData!$AP$13),"",ReferenceData!$AP$13),"")</f>
        <v>550.28589999999997</v>
      </c>
      <c r="AQ13">
        <f ca="1">IFERROR(IF(0=LEN(ReferenceData!$AQ$13),"",ReferenceData!$AQ$13),"")</f>
        <v>551.29939999999999</v>
      </c>
      <c r="AR13">
        <f ca="1">IFERROR(IF(0=LEN(ReferenceData!$AR$13),"",ReferenceData!$AR$13),"")</f>
        <v>549.65570000000002</v>
      </c>
      <c r="AS13">
        <f ca="1">IFERROR(IF(0=LEN(ReferenceData!$AS$13),"",ReferenceData!$AS$13),"")</f>
        <v>532.24639999999999</v>
      </c>
      <c r="AT13">
        <f ca="1">IFERROR(IF(0=LEN(ReferenceData!$AT$13),"",ReferenceData!$AT$13),"")</f>
        <v>550.19470000000001</v>
      </c>
      <c r="AU13">
        <f ca="1">IFERROR(IF(0=LEN(ReferenceData!$AU$13),"",ReferenceData!$AU$13),"")</f>
        <v>514.62379999999996</v>
      </c>
      <c r="AV13">
        <f ca="1">IFERROR(IF(0=LEN(ReferenceData!$AV$13),"",ReferenceData!$AV$13),"")</f>
        <v>508.73989999999998</v>
      </c>
      <c r="AW13">
        <f ca="1">IFERROR(IF(0=LEN(ReferenceData!$AW$13),"",ReferenceData!$AW$13),"")</f>
        <v>514.25149999999996</v>
      </c>
      <c r="AX13">
        <f ca="1">IFERROR(IF(0=LEN(ReferenceData!$AX$13),"",ReferenceData!$AX$13),"")</f>
        <v>511.05599999999998</v>
      </c>
      <c r="AY13">
        <f ca="1">IFERROR(IF(0=LEN(ReferenceData!$AY$13),"",ReferenceData!$AY$13),"")</f>
        <v>509.18209999999999</v>
      </c>
      <c r="AZ13">
        <f ca="1">IFERROR(IF(0=LEN(ReferenceData!$AZ$13),"",ReferenceData!$AZ$13),"")</f>
        <v>496.0573</v>
      </c>
      <c r="BA13">
        <f ca="1">IFERROR(IF(0=LEN(ReferenceData!$BA$13),"",ReferenceData!$BA$13),"")</f>
        <v>496.2414</v>
      </c>
      <c r="BB13">
        <f ca="1">IFERROR(IF(0=LEN(ReferenceData!$BB$13),"",ReferenceData!$BB$13),"")</f>
        <v>489.26900000000001</v>
      </c>
      <c r="BC13">
        <f ca="1">IFERROR(IF(0=LEN(ReferenceData!$BC$13),"",ReferenceData!$BC$13),"")</f>
        <v>478.24029999999999</v>
      </c>
      <c r="BD13">
        <f ca="1">IFERROR(IF(0=LEN(ReferenceData!$BD$13),"",ReferenceData!$BD$13),"")</f>
        <v>481.78960000000001</v>
      </c>
      <c r="BE13">
        <f ca="1">IFERROR(IF(0=LEN(ReferenceData!$BE$13),"",ReferenceData!$BE$13),"")</f>
        <v>488.33499999999998</v>
      </c>
      <c r="BF13">
        <f ca="1">IFERROR(IF(0=LEN(ReferenceData!$BF$13),"",ReferenceData!$BF$13),"")</f>
        <v>497.24630000000002</v>
      </c>
      <c r="BG13">
        <f ca="1">IFERROR(IF(0=LEN(ReferenceData!$BG$13),"",ReferenceData!$BG$13),"")</f>
        <v>506.08569999999997</v>
      </c>
      <c r="BH13">
        <f ca="1">IFERROR(IF(0=LEN(ReferenceData!$BH$13),"",ReferenceData!$BH$13),"")</f>
        <v>516.2885</v>
      </c>
      <c r="BI13">
        <f ca="1">IFERROR(IF(0=LEN(ReferenceData!$BI$13),"",ReferenceData!$BI$13),"")</f>
        <v>528.44290000000001</v>
      </c>
      <c r="BJ13">
        <f ca="1">IFERROR(IF(0=LEN(ReferenceData!$BJ$13),"",ReferenceData!$BJ$13),"")</f>
        <v>531.34749999999997</v>
      </c>
      <c r="BK13">
        <f ca="1">IFERROR(IF(0=LEN(ReferenceData!$BK$13),"",ReferenceData!$BK$13),"")</f>
        <v>539.99130000000002</v>
      </c>
      <c r="BL13">
        <f ca="1">IFERROR(IF(0=LEN(ReferenceData!$BL$13),"",ReferenceData!$BL$13),"")</f>
        <v>511.10239999999999</v>
      </c>
      <c r="BM13">
        <f ca="1">IFERROR(IF(0=LEN(ReferenceData!$BM$13),"",ReferenceData!$BM$13),"")</f>
        <v>503.63810000000001</v>
      </c>
    </row>
    <row r="14" spans="1:65" x14ac:dyDescent="0.25">
      <c r="A14" t="str">
        <f>IFERROR(IF(0=LEN(ReferenceData!$A$14),"",ReferenceData!$A$14),"")</f>
        <v xml:space="preserve">        Exports</v>
      </c>
      <c r="B14" t="str">
        <f>IFERROR(IF(0=LEN(ReferenceData!$B$14),"",ReferenceData!$B$14),"")</f>
        <v>ECEXEMU Index</v>
      </c>
      <c r="C14" t="str">
        <f>IFERROR(IF(0=LEN(ReferenceData!$C$14),"",ReferenceData!$C$14),"")</f>
        <v/>
      </c>
      <c r="D14" t="str">
        <f>IFERROR(IF(0=LEN(ReferenceData!$D$14),"",ReferenceData!$D$14),"")</f>
        <v/>
      </c>
      <c r="E14" t="str">
        <f>IFERROR(IF(0=LEN(ReferenceData!$E$14),"",ReferenceData!$E$14),"")</f>
        <v>Expression</v>
      </c>
      <c r="F14" t="str">
        <f ca="1">IFERROR(IF(0=LEN(ReferenceData!$F$14),"",ReferenceData!$F$14),"")</f>
        <v/>
      </c>
      <c r="G14">
        <f ca="1">IFERROR(IF(0=LEN(ReferenceData!$G$14),"",ReferenceData!$G$14),"")</f>
        <v>1932.9014999999999</v>
      </c>
      <c r="H14">
        <f ca="1">IFERROR(IF(0=LEN(ReferenceData!$H$14),"",ReferenceData!$H$14),"")</f>
        <v>1890.9865</v>
      </c>
      <c r="I14">
        <f ca="1">IFERROR(IF(0=LEN(ReferenceData!$I$14),"",ReferenceData!$I$14),"")</f>
        <v>1878.8099</v>
      </c>
      <c r="J14">
        <f ca="1">IFERROR(IF(0=LEN(ReferenceData!$J$14),"",ReferenceData!$J$14),"")</f>
        <v>1901.4876999999999</v>
      </c>
      <c r="K14">
        <f ca="1">IFERROR(IF(0=LEN(ReferenceData!$K$14),"",ReferenceData!$K$14),"")</f>
        <v>1847.1993</v>
      </c>
      <c r="L14">
        <f ca="1">IFERROR(IF(0=LEN(ReferenceData!$L$14),"",ReferenceData!$L$14),"")</f>
        <v>1841.0906</v>
      </c>
      <c r="M14">
        <f ca="1">IFERROR(IF(0=LEN(ReferenceData!$M$14),"",ReferenceData!$M$14),"")</f>
        <v>1827.2147</v>
      </c>
      <c r="N14">
        <f ca="1">IFERROR(IF(0=LEN(ReferenceData!$N$14),"",ReferenceData!$N$14),"")</f>
        <v>1849.8463999999999</v>
      </c>
      <c r="O14">
        <f ca="1">IFERROR(IF(0=LEN(ReferenceData!$O$14),"",ReferenceData!$O$14),"")</f>
        <v>1875.1133</v>
      </c>
      <c r="P14">
        <f ca="1">IFERROR(IF(0=LEN(ReferenceData!$P$14),"",ReferenceData!$P$14),"")</f>
        <v>1918.1723</v>
      </c>
      <c r="Q14">
        <f ca="1">IFERROR(IF(0=LEN(ReferenceData!$Q$14),"",ReferenceData!$Q$14),"")</f>
        <v>1912.4867999999999</v>
      </c>
      <c r="R14">
        <f ca="1">IFERROR(IF(0=LEN(ReferenceData!$R$14),"",ReferenceData!$R$14),"")</f>
        <v>1843.904</v>
      </c>
      <c r="S14">
        <f ca="1">IFERROR(IF(0=LEN(ReferenceData!$S$14),"",ReferenceData!$S$14),"")</f>
        <v>1738.048</v>
      </c>
      <c r="T14">
        <f ca="1">IFERROR(IF(0=LEN(ReferenceData!$T$14),"",ReferenceData!$T$14),"")</f>
        <v>1653.8019999999999</v>
      </c>
      <c r="U14">
        <f ca="1">IFERROR(IF(0=LEN(ReferenceData!$U$14),"",ReferenceData!$U$14),"")</f>
        <v>1552.5554</v>
      </c>
      <c r="V14">
        <f ca="1">IFERROR(IF(0=LEN(ReferenceData!$V$14),"",ReferenceData!$V$14),"")</f>
        <v>1482.0319</v>
      </c>
      <c r="W14">
        <f ca="1">IFERROR(IF(0=LEN(ReferenceData!$W$14),"",ReferenceData!$W$14),"")</f>
        <v>1423.5915</v>
      </c>
      <c r="X14">
        <f ca="1">IFERROR(IF(0=LEN(ReferenceData!$X$14),"",ReferenceData!$X$14),"")</f>
        <v>1376.1880000000001</v>
      </c>
      <c r="Y14">
        <f ca="1">IFERROR(IF(0=LEN(ReferenceData!$Y$14),"",ReferenceData!$Y$14),"")</f>
        <v>1293.2405000000001</v>
      </c>
      <c r="Z14">
        <f ca="1">IFERROR(IF(0=LEN(ReferenceData!$Z$14),"",ReferenceData!$Z$14),"")</f>
        <v>1113.1756</v>
      </c>
      <c r="AA14">
        <f ca="1">IFERROR(IF(0=LEN(ReferenceData!$AA$14),"",ReferenceData!$AA$14),"")</f>
        <v>1398.3768</v>
      </c>
      <c r="AB14">
        <f ca="1">IFERROR(IF(0=LEN(ReferenceData!$AB$14),"",ReferenceData!$AB$14),"")</f>
        <v>1448.7375</v>
      </c>
      <c r="AC14">
        <f ca="1">IFERROR(IF(0=LEN(ReferenceData!$AC$14),"",ReferenceData!$AC$14),"")</f>
        <v>1442.9878000000001</v>
      </c>
      <c r="AD14">
        <f ca="1">IFERROR(IF(0=LEN(ReferenceData!$AD$14),"",ReferenceData!$AD$14),"")</f>
        <v>1438.9038</v>
      </c>
      <c r="AE14">
        <f ca="1">IFERROR(IF(0=LEN(ReferenceData!$AE$14),"",ReferenceData!$AE$14),"")</f>
        <v>1434.1171999999999</v>
      </c>
      <c r="AF14">
        <f ca="1">IFERROR(IF(0=LEN(ReferenceData!$AF$14),"",ReferenceData!$AF$14),"")</f>
        <v>1407.4938</v>
      </c>
      <c r="AG14">
        <f ca="1">IFERROR(IF(0=LEN(ReferenceData!$AG$14),"",ReferenceData!$AG$14),"")</f>
        <v>1397.1321</v>
      </c>
      <c r="AH14">
        <f ca="1">IFERROR(IF(0=LEN(ReferenceData!$AH$14),"",ReferenceData!$AH$14),"")</f>
        <v>1377.5984000000001</v>
      </c>
      <c r="AI14">
        <f ca="1">IFERROR(IF(0=LEN(ReferenceData!$AI$14),"",ReferenceData!$AI$14),"")</f>
        <v>1359.6916000000001</v>
      </c>
      <c r="AJ14">
        <f ca="1">IFERROR(IF(0=LEN(ReferenceData!$AJ$14),"",ReferenceData!$AJ$14),"")</f>
        <v>1354.1107999999999</v>
      </c>
      <c r="AK14">
        <f ca="1">IFERROR(IF(0=LEN(ReferenceData!$AK$14),"",ReferenceData!$AK$14),"")</f>
        <v>1319.7198000000001</v>
      </c>
      <c r="AL14">
        <f ca="1">IFERROR(IF(0=LEN(ReferenceData!$AL$14),"",ReferenceData!$AL$14),"")</f>
        <v>1309.0546999999999</v>
      </c>
      <c r="AM14">
        <f ca="1">IFERROR(IF(0=LEN(ReferenceData!$AM$14),"",ReferenceData!$AM$14),"")</f>
        <v>1292.6376</v>
      </c>
      <c r="AN14">
        <f ca="1">IFERROR(IF(0=LEN(ReferenceData!$AN$14),"",ReferenceData!$AN$14),"")</f>
        <v>1248.5771999999999</v>
      </c>
      <c r="AO14">
        <f ca="1">IFERROR(IF(0=LEN(ReferenceData!$AO$14),"",ReferenceData!$AO$14),"")</f>
        <v>1228.7262000000001</v>
      </c>
      <c r="AP14">
        <f ca="1">IFERROR(IF(0=LEN(ReferenceData!$AP$14),"",ReferenceData!$AP$14),"")</f>
        <v>1210.7564</v>
      </c>
      <c r="AQ14">
        <f ca="1">IFERROR(IF(0=LEN(ReferenceData!$AQ$14),"",ReferenceData!$AQ$14),"")</f>
        <v>1200.0133000000001</v>
      </c>
      <c r="AR14">
        <f ca="1">IFERROR(IF(0=LEN(ReferenceData!$AR$14),"",ReferenceData!$AR$14),"")</f>
        <v>1207.8134</v>
      </c>
      <c r="AS14">
        <f ca="1">IFERROR(IF(0=LEN(ReferenceData!$AS$14),"",ReferenceData!$AS$14),"")</f>
        <v>1205.2655</v>
      </c>
      <c r="AT14">
        <f ca="1">IFERROR(IF(0=LEN(ReferenceData!$AT$14),"",ReferenceData!$AT$14),"")</f>
        <v>1207.3924999999999</v>
      </c>
      <c r="AU14">
        <f ca="1">IFERROR(IF(0=LEN(ReferenceData!$AU$14),"",ReferenceData!$AU$14),"")</f>
        <v>1186.8432</v>
      </c>
      <c r="AV14">
        <f ca="1">IFERROR(IF(0=LEN(ReferenceData!$AV$14),"",ReferenceData!$AV$14),"")</f>
        <v>1147.2353000000001</v>
      </c>
      <c r="AW14">
        <f ca="1">IFERROR(IF(0=LEN(ReferenceData!$AW$14),"",ReferenceData!$AW$14),"")</f>
        <v>1134.5811000000001</v>
      </c>
      <c r="AX14">
        <f ca="1">IFERROR(IF(0=LEN(ReferenceData!$AX$14),"",ReferenceData!$AX$14),"")</f>
        <v>1114.4956999999999</v>
      </c>
      <c r="AY14">
        <f ca="1">IFERROR(IF(0=LEN(ReferenceData!$AY$14),"",ReferenceData!$AY$14),"")</f>
        <v>1103.4947</v>
      </c>
      <c r="AZ14">
        <f ca="1">IFERROR(IF(0=LEN(ReferenceData!$AZ$14),"",ReferenceData!$AZ$14),"")</f>
        <v>1096.8970999999999</v>
      </c>
      <c r="BA14">
        <f ca="1">IFERROR(IF(0=LEN(ReferenceData!$BA$14),"",ReferenceData!$BA$14),"")</f>
        <v>1088.3495</v>
      </c>
      <c r="BB14">
        <f ca="1">IFERROR(IF(0=LEN(ReferenceData!$BB$14),"",ReferenceData!$BB$14),"")</f>
        <v>1080.8443</v>
      </c>
      <c r="BC14">
        <f ca="1">IFERROR(IF(0=LEN(ReferenceData!$BC$14),"",ReferenceData!$BC$14),"")</f>
        <v>1074.4503999999999</v>
      </c>
      <c r="BD14">
        <f ca="1">IFERROR(IF(0=LEN(ReferenceData!$BD$14),"",ReferenceData!$BD$14),"")</f>
        <v>1071.9657999999999</v>
      </c>
      <c r="BE14">
        <f ca="1">IFERROR(IF(0=LEN(ReferenceData!$BE$14),"",ReferenceData!$BE$14),"")</f>
        <v>1076.9055000000001</v>
      </c>
      <c r="BF14">
        <f ca="1">IFERROR(IF(0=LEN(ReferenceData!$BF$14),"",ReferenceData!$BF$14),"")</f>
        <v>1060.6022</v>
      </c>
      <c r="BG14">
        <f ca="1">IFERROR(IF(0=LEN(ReferenceData!$BG$14),"",ReferenceData!$BG$14),"")</f>
        <v>1051.9603</v>
      </c>
      <c r="BH14">
        <f ca="1">IFERROR(IF(0=LEN(ReferenceData!$BH$14),"",ReferenceData!$BH$14),"")</f>
        <v>1029.5709999999999</v>
      </c>
      <c r="BI14">
        <f ca="1">IFERROR(IF(0=LEN(ReferenceData!$BI$14),"",ReferenceData!$BI$14),"")</f>
        <v>1028.4407000000001</v>
      </c>
      <c r="BJ14">
        <f ca="1">IFERROR(IF(0=LEN(ReferenceData!$BJ$14),"",ReferenceData!$BJ$14),"")</f>
        <v>1017.8868</v>
      </c>
      <c r="BK14">
        <f ca="1">IFERROR(IF(0=LEN(ReferenceData!$BK$14),"",ReferenceData!$BK$14),"")</f>
        <v>1004.5667</v>
      </c>
      <c r="BL14">
        <f ca="1">IFERROR(IF(0=LEN(ReferenceData!$BL$14),"",ReferenceData!$BL$14),"")</f>
        <v>967.56140000000005</v>
      </c>
      <c r="BM14">
        <f ca="1">IFERROR(IF(0=LEN(ReferenceData!$BM$14),"",ReferenceData!$BM$14),"")</f>
        <v>943.64229999999998</v>
      </c>
    </row>
    <row r="15" spans="1:65" x14ac:dyDescent="0.25">
      <c r="A15" t="str">
        <f>IFERROR(IF(0=LEN(ReferenceData!$A$15),"",ReferenceData!$A$15),"")</f>
        <v xml:space="preserve">        Imports</v>
      </c>
      <c r="B15" t="str">
        <f>IFERROR(IF(0=LEN(ReferenceData!$B$15),"",ReferenceData!$B$15),"")</f>
        <v>ECIMEMU Index</v>
      </c>
      <c r="C15" t="str">
        <f>IFERROR(IF(0=LEN(ReferenceData!$C$15),"",ReferenceData!$C$15),"")</f>
        <v/>
      </c>
      <c r="D15" t="str">
        <f>IFERROR(IF(0=LEN(ReferenceData!$D$15),"",ReferenceData!$D$15),"")</f>
        <v/>
      </c>
      <c r="E15" t="str">
        <f>IFERROR(IF(0=LEN(ReferenceData!$E$15),"",ReferenceData!$E$15),"")</f>
        <v>Expression</v>
      </c>
      <c r="F15" t="str">
        <f ca="1">IFERROR(IF(0=LEN(ReferenceData!$F$15),"",ReferenceData!$F$15),"")</f>
        <v/>
      </c>
      <c r="G15">
        <f ca="1">IFERROR(IF(0=LEN(ReferenceData!$G$15),"",ReferenceData!$G$15),"")</f>
        <v>1771.3466000000001</v>
      </c>
      <c r="H15">
        <f ca="1">IFERROR(IF(0=LEN(ReferenceData!$H$15),"",ReferenceData!$H$15),"")</f>
        <v>1725.6107</v>
      </c>
      <c r="I15">
        <f ca="1">IFERROR(IF(0=LEN(ReferenceData!$I$15),"",ReferenceData!$I$15),"")</f>
        <v>1719.4159</v>
      </c>
      <c r="J15">
        <f ca="1">IFERROR(IF(0=LEN(ReferenceData!$J$15),"",ReferenceData!$J$15),"")</f>
        <v>1715.2304999999999</v>
      </c>
      <c r="K15">
        <f ca="1">IFERROR(IF(0=LEN(ReferenceData!$K$15),"",ReferenceData!$K$15),"")</f>
        <v>1674.8768</v>
      </c>
      <c r="L15">
        <f ca="1">IFERROR(IF(0=LEN(ReferenceData!$L$15),"",ReferenceData!$L$15),"")</f>
        <v>1701.4947999999999</v>
      </c>
      <c r="M15">
        <f ca="1">IFERROR(IF(0=LEN(ReferenceData!$M$15),"",ReferenceData!$M$15),"")</f>
        <v>1689.0504000000001</v>
      </c>
      <c r="N15">
        <f ca="1">IFERROR(IF(0=LEN(ReferenceData!$N$15),"",ReferenceData!$N$15),"")</f>
        <v>1720.4324999999999</v>
      </c>
      <c r="O15">
        <f ca="1">IFERROR(IF(0=LEN(ReferenceData!$O$15),"",ReferenceData!$O$15),"")</f>
        <v>1760.8557000000001</v>
      </c>
      <c r="P15">
        <f ca="1">IFERROR(IF(0=LEN(ReferenceData!$P$15),"",ReferenceData!$P$15),"")</f>
        <v>1830.6155000000001</v>
      </c>
      <c r="Q15">
        <f ca="1">IFERROR(IF(0=LEN(ReferenceData!$Q$15),"",ReferenceData!$Q$15),"")</f>
        <v>1872.4235000000001</v>
      </c>
      <c r="R15">
        <f ca="1">IFERROR(IF(0=LEN(ReferenceData!$R$15),"",ReferenceData!$R$15),"")</f>
        <v>1781.8734999999999</v>
      </c>
      <c r="S15">
        <f ca="1">IFERROR(IF(0=LEN(ReferenceData!$S$15),"",ReferenceData!$S$15),"")</f>
        <v>1651.3032000000001</v>
      </c>
      <c r="T15">
        <f ca="1">IFERROR(IF(0=LEN(ReferenceData!$T$15),"",ReferenceData!$T$15),"")</f>
        <v>1562.8933</v>
      </c>
      <c r="U15">
        <f ca="1">IFERROR(IF(0=LEN(ReferenceData!$U$15),"",ReferenceData!$U$15),"")</f>
        <v>1420.1319000000001</v>
      </c>
      <c r="V15">
        <f ca="1">IFERROR(IF(0=LEN(ReferenceData!$V$15),"",ReferenceData!$V$15),"")</f>
        <v>1346.4746</v>
      </c>
      <c r="W15">
        <f ca="1">IFERROR(IF(0=LEN(ReferenceData!$W$15),"",ReferenceData!$W$15),"")</f>
        <v>1278.0341000000001</v>
      </c>
      <c r="X15">
        <f ca="1">IFERROR(IF(0=LEN(ReferenceData!$X$15),"",ReferenceData!$X$15),"")</f>
        <v>1242.434</v>
      </c>
      <c r="Y15">
        <f ca="1">IFERROR(IF(0=LEN(ReferenceData!$Y$15),"",ReferenceData!$Y$15),"")</f>
        <v>1165.377</v>
      </c>
      <c r="Z15">
        <f ca="1">IFERROR(IF(0=LEN(ReferenceData!$Z$15),"",ReferenceData!$Z$15),"")</f>
        <v>1025.4076</v>
      </c>
      <c r="AA15">
        <f ca="1">IFERROR(IF(0=LEN(ReferenceData!$AA$15),"",ReferenceData!$AA$15),"")</f>
        <v>1331.6365000000001</v>
      </c>
      <c r="AB15">
        <f ca="1">IFERROR(IF(0=LEN(ReferenceData!$AB$15),"",ReferenceData!$AB$15),"")</f>
        <v>1377.3031000000001</v>
      </c>
      <c r="AC15">
        <f ca="1">IFERROR(IF(0=LEN(ReferenceData!$AC$15),"",ReferenceData!$AC$15),"")</f>
        <v>1311.0410999999999</v>
      </c>
      <c r="AD15">
        <f ca="1">IFERROR(IF(0=LEN(ReferenceData!$AD$15),"",ReferenceData!$AD$15),"")</f>
        <v>1348.3447000000001</v>
      </c>
      <c r="AE15">
        <f ca="1">IFERROR(IF(0=LEN(ReferenceData!$AE$15),"",ReferenceData!$AE$15),"")</f>
        <v>1301.6359</v>
      </c>
      <c r="AF15">
        <f ca="1">IFERROR(IF(0=LEN(ReferenceData!$AF$15),"",ReferenceData!$AF$15),"")</f>
        <v>1311.6032</v>
      </c>
      <c r="AG15">
        <f ca="1">IFERROR(IF(0=LEN(ReferenceData!$AG$15),"",ReferenceData!$AG$15),"")</f>
        <v>1281.0327</v>
      </c>
      <c r="AH15">
        <f ca="1">IFERROR(IF(0=LEN(ReferenceData!$AH$15),"",ReferenceData!$AH$15),"")</f>
        <v>1251.1500000000001</v>
      </c>
      <c r="AI15">
        <f ca="1">IFERROR(IF(0=LEN(ReferenceData!$AI$15),"",ReferenceData!$AI$15),"")</f>
        <v>1226.9059999999999</v>
      </c>
      <c r="AJ15">
        <f ca="1">IFERROR(IF(0=LEN(ReferenceData!$AJ$15),"",ReferenceData!$AJ$15),"")</f>
        <v>1214.0364999999999</v>
      </c>
      <c r="AK15">
        <f ca="1">IFERROR(IF(0=LEN(ReferenceData!$AK$15),"",ReferenceData!$AK$15),"")</f>
        <v>1181.5648000000001</v>
      </c>
      <c r="AL15">
        <f ca="1">IFERROR(IF(0=LEN(ReferenceData!$AL$15),"",ReferenceData!$AL$15),"")</f>
        <v>1212.8898999999999</v>
      </c>
      <c r="AM15">
        <f ca="1">IFERROR(IF(0=LEN(ReferenceData!$AM$15),"",ReferenceData!$AM$15),"")</f>
        <v>1164.4217000000001</v>
      </c>
      <c r="AN15">
        <f ca="1">IFERROR(IF(0=LEN(ReferenceData!$AN$15),"",ReferenceData!$AN$15),"")</f>
        <v>1138.7891</v>
      </c>
      <c r="AO15">
        <f ca="1">IFERROR(IF(0=LEN(ReferenceData!$AO$15),"",ReferenceData!$AO$15),"")</f>
        <v>1104.5099</v>
      </c>
      <c r="AP15">
        <f ca="1">IFERROR(IF(0=LEN(ReferenceData!$AP$15),"",ReferenceData!$AP$15),"")</f>
        <v>1083.2615000000001</v>
      </c>
      <c r="AQ15">
        <f ca="1">IFERROR(IF(0=LEN(ReferenceData!$AQ$15),"",ReferenceData!$AQ$15),"")</f>
        <v>1073.4185</v>
      </c>
      <c r="AR15">
        <f ca="1">IFERROR(IF(0=LEN(ReferenceData!$AR$15),"",ReferenceData!$AR$15),"")</f>
        <v>1089.0500999999999</v>
      </c>
      <c r="AS15">
        <f ca="1">IFERROR(IF(0=LEN(ReferenceData!$AS$15),"",ReferenceData!$AS$15),"")</f>
        <v>1076.0422000000001</v>
      </c>
      <c r="AT15">
        <f ca="1">IFERROR(IF(0=LEN(ReferenceData!$AT$15),"",ReferenceData!$AT$15),"")</f>
        <v>1107.5444</v>
      </c>
      <c r="AU15">
        <f ca="1">IFERROR(IF(0=LEN(ReferenceData!$AU$15),"",ReferenceData!$AU$15),"")</f>
        <v>1054.8133</v>
      </c>
      <c r="AV15">
        <f ca="1">IFERROR(IF(0=LEN(ReferenceData!$AV$15),"",ReferenceData!$AV$15),"")</f>
        <v>1036.0301999999999</v>
      </c>
      <c r="AW15">
        <f ca="1">IFERROR(IF(0=LEN(ReferenceData!$AW$15),"",ReferenceData!$AW$15),"")</f>
        <v>1034.433</v>
      </c>
      <c r="AX15">
        <f ca="1">IFERROR(IF(0=LEN(ReferenceData!$AX$15),"",ReferenceData!$AX$15),"")</f>
        <v>1017.4632</v>
      </c>
      <c r="AY15">
        <f ca="1">IFERROR(IF(0=LEN(ReferenceData!$AY$15),"",ReferenceData!$AY$15),"")</f>
        <v>1009.1368</v>
      </c>
      <c r="AZ15">
        <f ca="1">IFERROR(IF(0=LEN(ReferenceData!$AZ$15),"",ReferenceData!$AZ$15),"")</f>
        <v>1006.7301</v>
      </c>
      <c r="BA15">
        <f ca="1">IFERROR(IF(0=LEN(ReferenceData!$BA$15),"",ReferenceData!$BA$15),"")</f>
        <v>1000.4734999999999</v>
      </c>
      <c r="BB15">
        <f ca="1">IFERROR(IF(0=LEN(ReferenceData!$BB$15),"",ReferenceData!$BB$15),"")</f>
        <v>987.10050000000001</v>
      </c>
      <c r="BC15">
        <f ca="1">IFERROR(IF(0=LEN(ReferenceData!$BC$15),"",ReferenceData!$BC$15),"")</f>
        <v>984.74429999999995</v>
      </c>
      <c r="BD15">
        <f ca="1">IFERROR(IF(0=LEN(ReferenceData!$BD$15),"",ReferenceData!$BD$15),"")</f>
        <v>986.93709999999999</v>
      </c>
      <c r="BE15">
        <f ca="1">IFERROR(IF(0=LEN(ReferenceData!$BE$15),"",ReferenceData!$BE$15),"")</f>
        <v>994.4606</v>
      </c>
      <c r="BF15">
        <f ca="1">IFERROR(IF(0=LEN(ReferenceData!$BF$15),"",ReferenceData!$BF$15),"")</f>
        <v>991.78840000000002</v>
      </c>
      <c r="BG15">
        <f ca="1">IFERROR(IF(0=LEN(ReferenceData!$BG$15),"",ReferenceData!$BG$15),"")</f>
        <v>991.75360000000001</v>
      </c>
      <c r="BH15">
        <f ca="1">IFERROR(IF(0=LEN(ReferenceData!$BH$15),"",ReferenceData!$BH$15),"")</f>
        <v>976.80010000000004</v>
      </c>
      <c r="BI15">
        <f ca="1">IFERROR(IF(0=LEN(ReferenceData!$BI$15),"",ReferenceData!$BI$15),"")</f>
        <v>983.51110000000006</v>
      </c>
      <c r="BJ15">
        <f ca="1">IFERROR(IF(0=LEN(ReferenceData!$BJ$15),"",ReferenceData!$BJ$15),"")</f>
        <v>979.90449999999998</v>
      </c>
      <c r="BK15">
        <f ca="1">IFERROR(IF(0=LEN(ReferenceData!$BK$15),"",ReferenceData!$BK$15),"")</f>
        <v>971.7704</v>
      </c>
      <c r="BL15">
        <f ca="1">IFERROR(IF(0=LEN(ReferenceData!$BL$15),"",ReferenceData!$BL$15),"")</f>
        <v>928.90970000000004</v>
      </c>
      <c r="BM15">
        <f ca="1">IFERROR(IF(0=LEN(ReferenceData!$BM$15),"",ReferenceData!$BM$15),"")</f>
        <v>903.23659999999995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U74"/>
  <sheetViews>
    <sheetView workbookViewId="0"/>
  </sheetViews>
  <sheetFormatPr baseColWidth="10" defaultRowHeight="15" x14ac:dyDescent="0.25"/>
  <cols>
    <col min="1" max="1" width="56.28515625" customWidth="1"/>
    <col min="2" max="2" width="15.85546875" customWidth="1"/>
    <col min="3" max="125" width="9.140625" bestFit="1" customWidth="1"/>
  </cols>
  <sheetData>
    <row r="1" spans="1:1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</row>
    <row r="2" spans="1:125" x14ac:dyDescent="0.25">
      <c r="A2" s="1" t="str">
        <f>"Description"</f>
        <v>Description</v>
      </c>
      <c r="B2" s="1" t="str">
        <f>"Ticker"</f>
        <v>Ticker</v>
      </c>
      <c r="C2" s="1" t="str">
        <f>"Field ID"</f>
        <v>Field ID</v>
      </c>
      <c r="D2" s="1" t="str">
        <f>"Field Mnemonic"</f>
        <v>Field Mnemonic</v>
      </c>
      <c r="E2" s="1" t="str">
        <f>"Data State"</f>
        <v>Data State</v>
      </c>
      <c r="F2" s="1" t="str">
        <f>ReferenceData!$C$65</f>
        <v>2025 Q2</v>
      </c>
      <c r="G2" s="1" t="str">
        <f>ReferenceData!$D$65</f>
        <v>2025 Q1</v>
      </c>
      <c r="H2" s="1" t="str">
        <f>ReferenceData!$E$65</f>
        <v>2024 Q4</v>
      </c>
      <c r="I2" s="1" t="str">
        <f>ReferenceData!$F$65</f>
        <v>2024 Q3</v>
      </c>
      <c r="J2" s="1" t="str">
        <f>ReferenceData!$G$65</f>
        <v>2024 Q2</v>
      </c>
      <c r="K2" s="1" t="str">
        <f>ReferenceData!$H$65</f>
        <v>2024 Q1</v>
      </c>
      <c r="L2" s="1" t="str">
        <f>ReferenceData!$I$65</f>
        <v>2023 Q4</v>
      </c>
      <c r="M2" s="1" t="str">
        <f>ReferenceData!$J$65</f>
        <v>2023 Q3</v>
      </c>
      <c r="N2" s="1" t="str">
        <f>ReferenceData!$K$65</f>
        <v>2023 Q2</v>
      </c>
      <c r="O2" s="1" t="str">
        <f>ReferenceData!$L$65</f>
        <v>2023 Q1</v>
      </c>
      <c r="P2" s="1" t="str">
        <f>ReferenceData!$M$65</f>
        <v>2022 Q4</v>
      </c>
      <c r="Q2" s="1" t="str">
        <f>ReferenceData!$N$65</f>
        <v>2022 Q3</v>
      </c>
      <c r="R2" s="1" t="str">
        <f>ReferenceData!$O$65</f>
        <v>2022 Q2</v>
      </c>
      <c r="S2" s="1" t="str">
        <f>ReferenceData!$P$65</f>
        <v>2022 Q1</v>
      </c>
      <c r="T2" s="1" t="str">
        <f>ReferenceData!$Q$65</f>
        <v>2021 Q4</v>
      </c>
      <c r="U2" s="1" t="str">
        <f>ReferenceData!$R$65</f>
        <v>2021 Q3</v>
      </c>
      <c r="V2" s="1" t="str">
        <f>ReferenceData!$S$65</f>
        <v>2021 Q2</v>
      </c>
      <c r="W2" s="1" t="str">
        <f>ReferenceData!$T$65</f>
        <v>2021 Q1</v>
      </c>
      <c r="X2" s="1" t="str">
        <f>ReferenceData!$U$65</f>
        <v>2020 Q4</v>
      </c>
      <c r="Y2" s="1" t="str">
        <f>ReferenceData!$V$65</f>
        <v>2020 Q3</v>
      </c>
      <c r="Z2" s="1" t="str">
        <f>ReferenceData!$W$65</f>
        <v>2020 Q2</v>
      </c>
      <c r="AA2" s="1" t="str">
        <f>ReferenceData!$X$65</f>
        <v>2020 Q1</v>
      </c>
      <c r="AB2" s="1" t="str">
        <f>ReferenceData!$Y$65</f>
        <v>2019 Q4</v>
      </c>
      <c r="AC2" s="1" t="str">
        <f>ReferenceData!$Z$65</f>
        <v>2019 Q3</v>
      </c>
      <c r="AD2" s="1" t="str">
        <f>ReferenceData!$AA$65</f>
        <v>2019 Q2</v>
      </c>
      <c r="AE2" s="1" t="str">
        <f>ReferenceData!$AB$65</f>
        <v>2019 Q1</v>
      </c>
      <c r="AF2" s="1" t="str">
        <f>ReferenceData!$AC$65</f>
        <v>2018 Q4</v>
      </c>
      <c r="AG2" s="1" t="str">
        <f>ReferenceData!$AD$65</f>
        <v>2018 Q3</v>
      </c>
      <c r="AH2" s="1" t="str">
        <f>ReferenceData!$AE$65</f>
        <v>2018 Q2</v>
      </c>
      <c r="AI2" s="1" t="str">
        <f>ReferenceData!$AF$65</f>
        <v>2018 Q1</v>
      </c>
      <c r="AJ2" s="1" t="str">
        <f>ReferenceData!$AG$65</f>
        <v>2017 Q4</v>
      </c>
      <c r="AK2" s="1" t="str">
        <f>ReferenceData!$AH$65</f>
        <v>2017 Q3</v>
      </c>
      <c r="AL2" s="1" t="str">
        <f>ReferenceData!$AI$65</f>
        <v>2017 Q2</v>
      </c>
      <c r="AM2" s="1" t="str">
        <f>ReferenceData!$AJ$65</f>
        <v>2017 Q1</v>
      </c>
      <c r="AN2" s="1" t="str">
        <f>ReferenceData!$AK$65</f>
        <v>2016 Q4</v>
      </c>
      <c r="AO2" s="1" t="str">
        <f>ReferenceData!$AL$65</f>
        <v>2016 Q3</v>
      </c>
      <c r="AP2" s="1" t="str">
        <f>ReferenceData!$AM$65</f>
        <v>2016 Q2</v>
      </c>
      <c r="AQ2" s="1" t="str">
        <f>ReferenceData!$AN$65</f>
        <v>2016 Q1</v>
      </c>
      <c r="AR2" s="1" t="str">
        <f>ReferenceData!$AO$65</f>
        <v>2015 Q4</v>
      </c>
      <c r="AS2" s="1" t="str">
        <f>ReferenceData!$AP$65</f>
        <v>2015 Q3</v>
      </c>
      <c r="AT2" s="1" t="str">
        <f>ReferenceData!$AQ$65</f>
        <v>2015 Q2</v>
      </c>
      <c r="AU2" s="1" t="str">
        <f>ReferenceData!$AR$65</f>
        <v>2015 Q1</v>
      </c>
      <c r="AV2" s="1" t="str">
        <f>ReferenceData!$AS$65</f>
        <v>2014 Q4</v>
      </c>
      <c r="AW2" s="1" t="str">
        <f>ReferenceData!$AT$65</f>
        <v>2014 Q3</v>
      </c>
      <c r="AX2" s="1" t="str">
        <f>ReferenceData!$AU$65</f>
        <v>2014 Q2</v>
      </c>
      <c r="AY2" s="1" t="str">
        <f>ReferenceData!$AV$65</f>
        <v>2014 Q1</v>
      </c>
      <c r="AZ2" s="1" t="str">
        <f>ReferenceData!$AW$65</f>
        <v>2013 Q4</v>
      </c>
      <c r="BA2" s="1" t="str">
        <f>ReferenceData!$AX$65</f>
        <v>2013 Q3</v>
      </c>
      <c r="BB2" s="1" t="str">
        <f>ReferenceData!$AY$65</f>
        <v>2013 Q2</v>
      </c>
      <c r="BC2" s="1" t="str">
        <f>ReferenceData!$AZ$65</f>
        <v>2013 Q1</v>
      </c>
      <c r="BD2" s="1" t="str">
        <f>ReferenceData!$BA$65</f>
        <v>2012 Q4</v>
      </c>
      <c r="BE2" s="1" t="str">
        <f>ReferenceData!$BB$65</f>
        <v>2012 Q3</v>
      </c>
      <c r="BF2" s="1" t="str">
        <f>ReferenceData!$BC$65</f>
        <v>2012 Q2</v>
      </c>
      <c r="BG2" s="1" t="str">
        <f>ReferenceData!$BD$65</f>
        <v>2012 Q1</v>
      </c>
      <c r="BH2" s="1" t="str">
        <f>ReferenceData!$BE$65</f>
        <v>2011 Q4</v>
      </c>
      <c r="BI2" s="1" t="str">
        <f>ReferenceData!$BF$65</f>
        <v>2011 Q3</v>
      </c>
      <c r="BJ2" s="1" t="str">
        <f>ReferenceData!$BG$65</f>
        <v>2011 Q2</v>
      </c>
      <c r="BK2" s="1" t="str">
        <f>ReferenceData!$BH$65</f>
        <v>2011 Q1</v>
      </c>
      <c r="BL2" s="1" t="str">
        <f>ReferenceData!$BI$65</f>
        <v>2010 Q4</v>
      </c>
      <c r="BM2" s="1" t="str">
        <f>ReferenceData!$BJ$65</f>
        <v>2010 Q3</v>
      </c>
      <c r="BN2" t="str">
        <f>$C$65</f>
        <v>2025 Q2</v>
      </c>
      <c r="BO2" t="str">
        <f>$D$65</f>
        <v>2025 Q1</v>
      </c>
      <c r="BP2" t="str">
        <f>$E$65</f>
        <v>2024 Q4</v>
      </c>
      <c r="BQ2" t="str">
        <f>$F$65</f>
        <v>2024 Q3</v>
      </c>
      <c r="BR2" t="str">
        <f>$G$65</f>
        <v>2024 Q2</v>
      </c>
      <c r="BS2" t="str">
        <f>$H$65</f>
        <v>2024 Q1</v>
      </c>
      <c r="BT2" t="str">
        <f>$I$65</f>
        <v>2023 Q4</v>
      </c>
      <c r="BU2" t="str">
        <f>$J$65</f>
        <v>2023 Q3</v>
      </c>
      <c r="BV2" t="str">
        <f>$K$65</f>
        <v>2023 Q2</v>
      </c>
      <c r="BW2" t="str">
        <f>$L$65</f>
        <v>2023 Q1</v>
      </c>
      <c r="BX2" t="str">
        <f>$M$65</f>
        <v>2022 Q4</v>
      </c>
      <c r="BY2" t="str">
        <f>$N$65</f>
        <v>2022 Q3</v>
      </c>
      <c r="BZ2" t="str">
        <f>$O$65</f>
        <v>2022 Q2</v>
      </c>
      <c r="CA2" t="str">
        <f>$P$65</f>
        <v>2022 Q1</v>
      </c>
      <c r="CB2" t="str">
        <f>$Q$65</f>
        <v>2021 Q4</v>
      </c>
      <c r="CC2" t="str">
        <f>$R$65</f>
        <v>2021 Q3</v>
      </c>
      <c r="CD2" t="str">
        <f>$S$65</f>
        <v>2021 Q2</v>
      </c>
      <c r="CE2" t="str">
        <f>$T$65</f>
        <v>2021 Q1</v>
      </c>
      <c r="CF2" t="str">
        <f>$U$65</f>
        <v>2020 Q4</v>
      </c>
      <c r="CG2" t="str">
        <f>$V$65</f>
        <v>2020 Q3</v>
      </c>
      <c r="CH2" t="str">
        <f>$W$65</f>
        <v>2020 Q2</v>
      </c>
      <c r="CI2" t="str">
        <f>$X$65</f>
        <v>2020 Q1</v>
      </c>
      <c r="CJ2" t="str">
        <f>$Y$65</f>
        <v>2019 Q4</v>
      </c>
      <c r="CK2" t="str">
        <f>$Z$65</f>
        <v>2019 Q3</v>
      </c>
      <c r="CL2" t="str">
        <f>$AA$65</f>
        <v>2019 Q2</v>
      </c>
      <c r="CM2" t="str">
        <f>$AB$65</f>
        <v>2019 Q1</v>
      </c>
      <c r="CN2" t="str">
        <f>$AC$65</f>
        <v>2018 Q4</v>
      </c>
      <c r="CO2" t="str">
        <f>$AD$65</f>
        <v>2018 Q3</v>
      </c>
      <c r="CP2" t="str">
        <f>$AE$65</f>
        <v>2018 Q2</v>
      </c>
      <c r="CQ2" t="str">
        <f>$AF$65</f>
        <v>2018 Q1</v>
      </c>
      <c r="CR2" t="str">
        <f>$AG$65</f>
        <v>2017 Q4</v>
      </c>
      <c r="CS2" t="str">
        <f>$AH$65</f>
        <v>2017 Q3</v>
      </c>
      <c r="CT2" t="str">
        <f>$AI$65</f>
        <v>2017 Q2</v>
      </c>
      <c r="CU2" t="str">
        <f>$AJ$65</f>
        <v>2017 Q1</v>
      </c>
      <c r="CV2" t="str">
        <f>$AK$65</f>
        <v>2016 Q4</v>
      </c>
      <c r="CW2" t="str">
        <f>$AL$65</f>
        <v>2016 Q3</v>
      </c>
      <c r="CX2" t="str">
        <f>$AM$65</f>
        <v>2016 Q2</v>
      </c>
      <c r="CY2" t="str">
        <f>$AN$65</f>
        <v>2016 Q1</v>
      </c>
      <c r="CZ2" t="str">
        <f>$AO$65</f>
        <v>2015 Q4</v>
      </c>
      <c r="DA2" t="str">
        <f>$AP$65</f>
        <v>2015 Q3</v>
      </c>
      <c r="DB2" t="str">
        <f>$AQ$65</f>
        <v>2015 Q2</v>
      </c>
      <c r="DC2" t="str">
        <f>$AR$65</f>
        <v>2015 Q1</v>
      </c>
      <c r="DD2" t="str">
        <f>$AS$65</f>
        <v>2014 Q4</v>
      </c>
      <c r="DE2" t="str">
        <f>$AT$65</f>
        <v>2014 Q3</v>
      </c>
      <c r="DF2" t="str">
        <f>$AU$65</f>
        <v>2014 Q2</v>
      </c>
      <c r="DG2" t="str">
        <f>$AV$65</f>
        <v>2014 Q1</v>
      </c>
      <c r="DH2" t="str">
        <f>$AW$65</f>
        <v>2013 Q4</v>
      </c>
      <c r="DI2" t="str">
        <f>$AX$65</f>
        <v>2013 Q3</v>
      </c>
      <c r="DJ2" t="str">
        <f>$AY$65</f>
        <v>2013 Q2</v>
      </c>
      <c r="DK2" t="str">
        <f>$AZ$65</f>
        <v>2013 Q1</v>
      </c>
      <c r="DL2" t="str">
        <f>$BA$65</f>
        <v>2012 Q4</v>
      </c>
      <c r="DM2" t="str">
        <f>$BB$65</f>
        <v>2012 Q3</v>
      </c>
      <c r="DN2" t="str">
        <f>$BC$65</f>
        <v>2012 Q2</v>
      </c>
      <c r="DO2" t="str">
        <f>$BD$65</f>
        <v>2012 Q1</v>
      </c>
      <c r="DP2" t="str">
        <f>$BE$65</f>
        <v>2011 Q4</v>
      </c>
      <c r="DQ2" t="str">
        <f>$BF$65</f>
        <v>2011 Q3</v>
      </c>
      <c r="DR2" t="str">
        <f>$BG$65</f>
        <v>2011 Q2</v>
      </c>
      <c r="DS2" t="str">
        <f>$BH$65</f>
        <v>2011 Q1</v>
      </c>
      <c r="DT2" t="str">
        <f>$BI$65</f>
        <v>2010 Q4</v>
      </c>
      <c r="DU2" t="str">
        <f>$BJ$65</f>
        <v>2010 Q3</v>
      </c>
    </row>
    <row r="3" spans="1:125" x14ac:dyDescent="0.25">
      <c r="A3" t="str">
        <f>"North America (Bil.) - US (USD)"</f>
        <v>North America (Bil.) - US (USD)</v>
      </c>
      <c r="B3" t="str">
        <f>"GDP CUR$ Index"</f>
        <v>GDP CUR$ Index</v>
      </c>
      <c r="C3" t="str">
        <f t="shared" ref="C3:C10" si="0">"PR005"</f>
        <v>PR005</v>
      </c>
      <c r="D3" t="str">
        <f t="shared" ref="D3:D10" si="1">"PX_LAST"</f>
        <v>PX_LAST</v>
      </c>
      <c r="E3" t="str">
        <f t="shared" ref="E3:E10" si="2">"Dynamic"</f>
        <v>Dynamic</v>
      </c>
      <c r="F3">
        <f ca="1">IF(AND(ISNUMBER($F$38),$B$31=1),$F$38,HLOOKUP(INDIRECT(ADDRESS(2,COLUMN())),OFFSET($BN$2,0,0,ROW()-1,60),ROW()-1,FALSE))</f>
        <v>30331.116999999998</v>
      </c>
      <c r="G3">
        <f ca="1">IF(AND(ISNUMBER($G$38),$B$31=1),$G$38,HLOOKUP(INDIRECT(ADDRESS(2,COLUMN())),OFFSET($BN$2,0,0,ROW()-1,60),ROW()-1,FALSE))</f>
        <v>29962.046999999999</v>
      </c>
      <c r="H3">
        <f ca="1">IF(AND(ISNUMBER($H$38),$B$31=1),$H$38,HLOOKUP(INDIRECT(ADDRESS(2,COLUMN())),OFFSET($BN$2,0,0,ROW()-1,60),ROW()-1,FALSE))</f>
        <v>29723.864000000001</v>
      </c>
      <c r="I3">
        <f ca="1">IF(AND(ISNUMBER($I$38),$B$31=1),$I$38,HLOOKUP(INDIRECT(ADDRESS(2,COLUMN())),OFFSET($BN$2,0,0,ROW()-1,60),ROW()-1,FALSE))</f>
        <v>29374.914000000001</v>
      </c>
      <c r="J3">
        <f ca="1">IF(AND(ISNUMBER($J$38),$B$31=1),$J$38,HLOOKUP(INDIRECT(ADDRESS(2,COLUMN())),OFFSET($BN$2,0,0,ROW()-1,60),ROW()-1,FALSE))</f>
        <v>29016.714</v>
      </c>
      <c r="K3">
        <f ca="1">IF(AND(ISNUMBER($K$38),$B$31=1),$K$38,HLOOKUP(INDIRECT(ADDRESS(2,COLUMN())),OFFSET($BN$2,0,0,ROW()-1,60),ROW()-1,FALSE))</f>
        <v>28624.069</v>
      </c>
      <c r="L3">
        <f ca="1">IF(AND(ISNUMBER($L$38),$B$31=1),$L$38,HLOOKUP(INDIRECT(ADDRESS(2,COLUMN())),OFFSET($BN$2,0,0,ROW()-1,60),ROW()-1,FALSE))</f>
        <v>28296.967000000001</v>
      </c>
      <c r="M3">
        <f ca="1">IF(AND(ISNUMBER($M$38),$B$31=1),$M$38,HLOOKUP(INDIRECT(ADDRESS(2,COLUMN())),OFFSET($BN$2,0,0,ROW()-1,60),ROW()-1,FALSE))</f>
        <v>27967.697</v>
      </c>
      <c r="N3">
        <f ca="1">IF(AND(ISNUMBER($N$38),$B$31=1),$N$38,HLOOKUP(INDIRECT(ADDRESS(2,COLUMN())),OFFSET($BN$2,0,0,ROW()-1,60),ROW()-1,FALSE))</f>
        <v>27453.814999999999</v>
      </c>
      <c r="O3">
        <f ca="1">IF(AND(ISNUMBER($O$38),$B$31=1),$O$38,HLOOKUP(INDIRECT(ADDRESS(2,COLUMN())),OFFSET($BN$2,0,0,ROW()-1,60),ROW()-1,FALSE))</f>
        <v>27164.359</v>
      </c>
      <c r="P3">
        <f ca="1">IF(AND(ISNUMBER($P$38),$B$31=1),$P$38,HLOOKUP(INDIRECT(ADDRESS(2,COLUMN())),OFFSET($BN$2,0,0,ROW()-1,60),ROW()-1,FALSE))</f>
        <v>26734.276999999998</v>
      </c>
      <c r="Q3">
        <f ca="1">IF(AND(ISNUMBER($Q$38),$B$31=1),$Q$38,HLOOKUP(INDIRECT(ADDRESS(2,COLUMN())),OFFSET($BN$2,0,0,ROW()-1,60),ROW()-1,FALSE))</f>
        <v>26272.010999999999</v>
      </c>
      <c r="R3">
        <f ca="1">IF(AND(ISNUMBER($R$38),$B$31=1),$R$38,HLOOKUP(INDIRECT(ADDRESS(2,COLUMN())),OFFSET($BN$2,0,0,ROW()-1,60),ROW()-1,FALSE))</f>
        <v>25805.791000000001</v>
      </c>
      <c r="S3">
        <f ca="1">IF(AND(ISNUMBER($S$38),$B$31=1),$S$38,HLOOKUP(INDIRECT(ADDRESS(2,COLUMN())),OFFSET($BN$2,0,0,ROW()-1,60),ROW()-1,FALSE))</f>
        <v>25215.491000000002</v>
      </c>
      <c r="T3">
        <f ca="1">IF(AND(ISNUMBER($T$38),$B$31=1),$T$38,HLOOKUP(INDIRECT(ADDRESS(2,COLUMN())),OFFSET($BN$2,0,0,ROW()-1,60),ROW()-1,FALSE))</f>
        <v>24777.038</v>
      </c>
      <c r="U3">
        <f ca="1">IF(AND(ISNUMBER($U$38),$B$31=1),$U$38,HLOOKUP(INDIRECT(ADDRESS(2,COLUMN())),OFFSET($BN$2,0,0,ROW()-1,60),ROW()-1,FALSE))</f>
        <v>23921.991000000002</v>
      </c>
      <c r="V3">
        <f ca="1">IF(AND(ISNUMBER($V$38),$B$31=1),$V$38,HLOOKUP(INDIRECT(ADDRESS(2,COLUMN())),OFFSET($BN$2,0,0,ROW()-1,60),ROW()-1,FALSE))</f>
        <v>23368.861000000001</v>
      </c>
      <c r="W3">
        <f ca="1">IF(AND(ISNUMBER($W$38),$B$31=1),$W$38,HLOOKUP(INDIRECT(ADDRESS(2,COLUMN())),OFFSET($BN$2,0,0,ROW()-1,60),ROW()-1,FALSE))</f>
        <v>22656.793000000001</v>
      </c>
      <c r="X3">
        <f ca="1">IF(AND(ISNUMBER($X$38),$B$31=1),$X$38,HLOOKUP(INDIRECT(ADDRESS(2,COLUMN())),OFFSET($BN$2,0,0,ROW()-1,60),ROW()-1,FALSE))</f>
        <v>22068.767</v>
      </c>
      <c r="Y3">
        <f ca="1">IF(AND(ISNUMBER($Y$38),$B$31=1),$Y$38,HLOOKUP(INDIRECT(ADDRESS(2,COLUMN())),OFFSET($BN$2,0,0,ROW()-1,60),ROW()-1,FALSE))</f>
        <v>21684.550999999999</v>
      </c>
      <c r="Z3">
        <f ca="1">IF(AND(ISNUMBER($Z$38),$B$31=1),$Z$38,HLOOKUP(INDIRECT(ADDRESS(2,COLUMN())),OFFSET($BN$2,0,0,ROW()-1,60),ROW()-1,FALSE))</f>
        <v>19935.444</v>
      </c>
      <c r="AA3">
        <f ca="1">IF(AND(ISNUMBER($AA$38),$B$31=1),$AA$38,HLOOKUP(INDIRECT(ADDRESS(2,COLUMN())),OFFSET($BN$2,0,0,ROW()-1,60),ROW()-1,FALSE))</f>
        <v>21727.656999999999</v>
      </c>
      <c r="AB3">
        <f ca="1">IF(AND(ISNUMBER($AB$38),$B$31=1),$AB$38,HLOOKUP(INDIRECT(ADDRESS(2,COLUMN())),OFFSET($BN$2,0,0,ROW()-1,60),ROW()-1,FALSE))</f>
        <v>21933.217000000001</v>
      </c>
      <c r="AC3">
        <f ca="1">IF(AND(ISNUMBER($AC$38),$B$31=1),$AC$38,HLOOKUP(INDIRECT(ADDRESS(2,COLUMN())),OFFSET($BN$2,0,0,ROW()-1,60),ROW()-1,FALSE))</f>
        <v>21717.170999999998</v>
      </c>
      <c r="AD3">
        <f ca="1">IF(AND(ISNUMBER($AD$38),$B$31=1),$AD$38,HLOOKUP(INDIRECT(ADDRESS(2,COLUMN())),OFFSET($BN$2,0,0,ROW()-1,60),ROW()-1,FALSE))</f>
        <v>21397.937999999998</v>
      </c>
      <c r="AE3">
        <f ca="1">IF(AND(ISNUMBER($AE$38),$B$31=1),$AE$38,HLOOKUP(INDIRECT(ADDRESS(2,COLUMN())),OFFSET($BN$2,0,0,ROW()-1,60),ROW()-1,FALSE))</f>
        <v>21111.599999999999</v>
      </c>
      <c r="AF3">
        <f ca="1">IF(AND(ISNUMBER($AF$38),$B$31=1),$AF$38,HLOOKUP(INDIRECT(ADDRESS(2,COLUMN())),OFFSET($BN$2,0,0,ROW()-1,60),ROW()-1,FALSE))</f>
        <v>20917.866999999998</v>
      </c>
      <c r="AG3">
        <f ca="1">IF(AND(ISNUMBER($AG$38),$B$31=1),$AG$38,HLOOKUP(INDIRECT(ADDRESS(2,COLUMN())),OFFSET($BN$2,0,0,ROW()-1,60),ROW()-1,FALSE))</f>
        <v>20798.73</v>
      </c>
      <c r="AH3">
        <f ca="1">IF(AND(ISNUMBER($AH$38),$B$31=1),$AH$38,HLOOKUP(INDIRECT(ADDRESS(2,COLUMN())),OFFSET($BN$2,0,0,ROW()-1,60),ROW()-1,FALSE))</f>
        <v>20580.912</v>
      </c>
      <c r="AI3">
        <f ca="1">IF(AND(ISNUMBER($AI$38),$B$31=1),$AI$38,HLOOKUP(INDIRECT(ADDRESS(2,COLUMN())),OFFSET($BN$2,0,0,ROW()-1,60),ROW()-1,FALSE))</f>
        <v>20328.553</v>
      </c>
      <c r="AJ3">
        <f ca="1">IF(AND(ISNUMBER($AJ$38),$B$31=1),$AJ$38,HLOOKUP(INDIRECT(ADDRESS(2,COLUMN())),OFFSET($BN$2,0,0,ROW()-1,60),ROW()-1,FALSE))</f>
        <v>20037.088</v>
      </c>
      <c r="AK3">
        <f ca="1">IF(AND(ISNUMBER($AK$38),$B$31=1),$AK$38,HLOOKUP(INDIRECT(ADDRESS(2,COLUMN())),OFFSET($BN$2,0,0,ROW()-1,60),ROW()-1,FALSE))</f>
        <v>19692.595000000001</v>
      </c>
      <c r="AL3">
        <f ca="1">IF(AND(ISNUMBER($AL$38),$B$31=1),$AL$38,HLOOKUP(INDIRECT(ADDRESS(2,COLUMN())),OFFSET($BN$2,0,0,ROW()-1,60),ROW()-1,FALSE))</f>
        <v>19438.643</v>
      </c>
      <c r="AM3">
        <f ca="1">IF(AND(ISNUMBER($AM$38),$B$31=1),$AM$38,HLOOKUP(INDIRECT(ADDRESS(2,COLUMN())),OFFSET($BN$2,0,0,ROW()-1,60),ROW()-1,FALSE))</f>
        <v>19280.083999999999</v>
      </c>
      <c r="AN3">
        <f ca="1">IF(AND(ISNUMBER($AN$38),$B$31=1),$AN$38,HLOOKUP(INDIRECT(ADDRESS(2,COLUMN())),OFFSET($BN$2,0,0,ROW()-1,60),ROW()-1,FALSE))</f>
        <v>19089.379000000001</v>
      </c>
      <c r="AO3">
        <f ca="1">IF(AND(ISNUMBER($AO$38),$B$31=1),$AO$38,HLOOKUP(INDIRECT(ADDRESS(2,COLUMN())),OFFSET($BN$2,0,0,ROW()-1,60),ROW()-1,FALSE))</f>
        <v>18892.638999999999</v>
      </c>
      <c r="AP3">
        <f ca="1">IF(AND(ISNUMBER($AP$38),$B$31=1),$AP$38,HLOOKUP(INDIRECT(ADDRESS(2,COLUMN())),OFFSET($BN$2,0,0,ROW()-1,60),ROW()-1,FALSE))</f>
        <v>18711.702000000001</v>
      </c>
      <c r="AQ3">
        <f ca="1">IF(AND(ISNUMBER($AQ$38),$B$31=1),$AQ$38,HLOOKUP(INDIRECT(ADDRESS(2,COLUMN())),OFFSET($BN$2,0,0,ROW()-1,60),ROW()-1,FALSE))</f>
        <v>18525.933000000001</v>
      </c>
      <c r="AR3">
        <f ca="1">IF(AND(ISNUMBER($AR$38),$B$31=1),$AR$38,HLOOKUP(INDIRECT(ADDRESS(2,COLUMN())),OFFSET($BN$2,0,0,ROW()-1,60),ROW()-1,FALSE))</f>
        <v>18435.136999999999</v>
      </c>
      <c r="AS3">
        <f ca="1">IF(AND(ISNUMBER($AS$38),$B$31=1),$AS$38,HLOOKUP(INDIRECT(ADDRESS(2,COLUMN())),OFFSET($BN$2,0,0,ROW()-1,60),ROW()-1,FALSE))</f>
        <v>18401.626</v>
      </c>
      <c r="AT3">
        <f ca="1">IF(AND(ISNUMBER($AT$38),$B$31=1),$AT$38,HLOOKUP(INDIRECT(ADDRESS(2,COLUMN())),OFFSET($BN$2,0,0,ROW()-1,60),ROW()-1,FALSE))</f>
        <v>18279.784</v>
      </c>
      <c r="AU3">
        <f ca="1">IF(AND(ISNUMBER($AU$38),$B$31=1),$AU$38,HLOOKUP(INDIRECT(ADDRESS(2,COLUMN())),OFFSET($BN$2,0,0,ROW()-1,60),ROW()-1,FALSE))</f>
        <v>18063.528999999999</v>
      </c>
      <c r="AV3">
        <f ca="1">IF(AND(ISNUMBER($AV$38),$B$31=1),$AV$38,HLOOKUP(INDIRECT(ADDRESS(2,COLUMN())),OFFSET($BN$2,0,0,ROW()-1,60),ROW()-1,FALSE))</f>
        <v>17912.079000000002</v>
      </c>
      <c r="AW3">
        <f ca="1">IF(AND(ISNUMBER($AW$38),$B$31=1),$AW$38,HLOOKUP(INDIRECT(ADDRESS(2,COLUMN())),OFFSET($BN$2,0,0,ROW()-1,60),ROW()-1,FALSE))</f>
        <v>17804.227999999999</v>
      </c>
      <c r="AX3">
        <f ca="1">IF(AND(ISNUMBER($AX$38),$B$31=1),$AX$38,HLOOKUP(INDIRECT(ADDRESS(2,COLUMN())),OFFSET($BN$2,0,0,ROW()-1,60),ROW()-1,FALSE))</f>
        <v>17518.508000000002</v>
      </c>
      <c r="AY3">
        <f ca="1">IF(AND(ISNUMBER($AY$38),$B$31=1),$AY$38,HLOOKUP(INDIRECT(ADDRESS(2,COLUMN())),OFFSET($BN$2,0,0,ROW()-1,60),ROW()-1,FALSE))</f>
        <v>17197.738000000001</v>
      </c>
      <c r="AZ3">
        <f ca="1">IF(AND(ISNUMBER($AZ$38),$B$31=1),$AZ$38,HLOOKUP(INDIRECT(ADDRESS(2,COLUMN())),OFFSET($BN$2,0,0,ROW()-1,60),ROW()-1,FALSE))</f>
        <v>17192.019</v>
      </c>
      <c r="BA3">
        <f ca="1">IF(AND(ISNUMBER($BA$38),$B$31=1),$BA$38,HLOOKUP(INDIRECT(ADDRESS(2,COLUMN())),OFFSET($BN$2,0,0,ROW()-1,60),ROW()-1,FALSE))</f>
        <v>16953.838</v>
      </c>
      <c r="BB3">
        <f ca="1">IF(AND(ISNUMBER($BB$38),$B$31=1),$BB$38,HLOOKUP(INDIRECT(ADDRESS(2,COLUMN())),OFFSET($BN$2,0,0,ROW()-1,60),ROW()-1,FALSE))</f>
        <v>16728.687000000002</v>
      </c>
      <c r="BC3">
        <f ca="1">IF(AND(ISNUMBER($BC$38),$B$31=1),$BC$38,HLOOKUP(INDIRECT(ADDRESS(2,COLUMN())),OFFSET($BN$2,0,0,ROW()-1,60),ROW()-1,FALSE))</f>
        <v>16648.188999999998</v>
      </c>
      <c r="BD3">
        <f ca="1">IF(AND(ISNUMBER($BD$38),$B$31=1),$BD$38,HLOOKUP(INDIRECT(ADDRESS(2,COLUMN())),OFFSET($BN$2,0,0,ROW()-1,60),ROW()-1,FALSE))</f>
        <v>16420.419000000002</v>
      </c>
      <c r="BE3">
        <f ca="1">IF(AND(ISNUMBER($BE$38),$B$31=1),$BE$38,HLOOKUP(INDIRECT(ADDRESS(2,COLUMN())),OFFSET($BN$2,0,0,ROW()-1,60),ROW()-1,FALSE))</f>
        <v>16319.54</v>
      </c>
      <c r="BF3">
        <f ca="1">IF(AND(ISNUMBER($BF$38),$B$31=1),$BF$38,HLOOKUP(INDIRECT(ADDRESS(2,COLUMN())),OFFSET($BN$2,0,0,ROW()-1,60),ROW()-1,FALSE))</f>
        <v>16207.115</v>
      </c>
      <c r="BG3">
        <f ca="1">IF(AND(ISNUMBER($BG$38),$B$31=1),$BG$38,HLOOKUP(INDIRECT(ADDRESS(2,COLUMN())),OFFSET($BN$2,0,0,ROW()-1,60),ROW()-1,FALSE))</f>
        <v>16068.805</v>
      </c>
      <c r="BH3">
        <f ca="1">IF(AND(ISNUMBER($BH$38),$B$31=1),$BH$38,HLOOKUP(INDIRECT(ADDRESS(2,COLUMN())),OFFSET($BN$2,0,0,ROW()-1,60),ROW()-1,FALSE))</f>
        <v>15842.259</v>
      </c>
      <c r="BI3">
        <f ca="1">IF(AND(ISNUMBER($BI$38),$B$31=1),$BI$38,HLOOKUP(INDIRECT(ADDRESS(2,COLUMN())),OFFSET($BN$2,0,0,ROW()-1,60),ROW()-1,FALSE))</f>
        <v>15647.681</v>
      </c>
      <c r="BJ3">
        <f ca="1">IF(AND(ISNUMBER($BJ$38),$B$31=1),$BJ$38,HLOOKUP(INDIRECT(ADDRESS(2,COLUMN())),OFFSET($BN$2,0,0,ROW()-1,60),ROW()-1,FALSE))</f>
        <v>15557.539000000001</v>
      </c>
      <c r="BK3">
        <f ca="1">IF(AND(ISNUMBER($BK$38),$B$31=1),$BK$38,HLOOKUP(INDIRECT(ADDRESS(2,COLUMN())),OFFSET($BN$2,0,0,ROW()-1,60),ROW()-1,FALSE))</f>
        <v>15351.448</v>
      </c>
      <c r="BL3">
        <f ca="1">IF(AND(ISNUMBER($BL$38),$B$31=1),$BL$38,HLOOKUP(INDIRECT(ADDRESS(2,COLUMN())),OFFSET($BN$2,0,0,ROW()-1,60),ROW()-1,FALSE))</f>
        <v>15309.474</v>
      </c>
      <c r="BM3">
        <f ca="1">IF(AND(ISNUMBER($BM$38),$B$31=1),$BM$38,HLOOKUP(INDIRECT(ADDRESS(2,COLUMN())),OFFSET($BN$2,0,0,ROW()-1,60),ROW()-1,FALSE))</f>
        <v>15141.607</v>
      </c>
      <c r="BN3">
        <f>30331.117</f>
        <v>30331.116999999998</v>
      </c>
      <c r="BO3">
        <f>29962.047</f>
        <v>29962.046999999999</v>
      </c>
      <c r="BP3">
        <f>29723.864</f>
        <v>29723.864000000001</v>
      </c>
      <c r="BQ3">
        <f>29374.914</f>
        <v>29374.914000000001</v>
      </c>
      <c r="BR3">
        <f>29016.714</f>
        <v>29016.714</v>
      </c>
      <c r="BS3">
        <f>28624.069</f>
        <v>28624.069</v>
      </c>
      <c r="BT3">
        <f>28296.967</f>
        <v>28296.967000000001</v>
      </c>
      <c r="BU3">
        <f>27967.697</f>
        <v>27967.697</v>
      </c>
      <c r="BV3">
        <f>27453.815</f>
        <v>27453.814999999999</v>
      </c>
      <c r="BW3">
        <f>27164.359</f>
        <v>27164.359</v>
      </c>
      <c r="BX3">
        <f>26734.277</f>
        <v>26734.276999999998</v>
      </c>
      <c r="BY3">
        <f>26272.011</f>
        <v>26272.010999999999</v>
      </c>
      <c r="BZ3">
        <f>25805.791</f>
        <v>25805.791000000001</v>
      </c>
      <c r="CA3">
        <f>25215.491</f>
        <v>25215.491000000002</v>
      </c>
      <c r="CB3">
        <f>24777.038</f>
        <v>24777.038</v>
      </c>
      <c r="CC3">
        <f>23921.991</f>
        <v>23921.991000000002</v>
      </c>
      <c r="CD3">
        <f>23368.861</f>
        <v>23368.861000000001</v>
      </c>
      <c r="CE3">
        <f>22656.793</f>
        <v>22656.793000000001</v>
      </c>
      <c r="CF3">
        <f>22068.767</f>
        <v>22068.767</v>
      </c>
      <c r="CG3">
        <f>21684.551</f>
        <v>21684.550999999999</v>
      </c>
      <c r="CH3">
        <f>19935.444</f>
        <v>19935.444</v>
      </c>
      <c r="CI3">
        <f>21727.657</f>
        <v>21727.656999999999</v>
      </c>
      <c r="CJ3">
        <f>21933.217</f>
        <v>21933.217000000001</v>
      </c>
      <c r="CK3">
        <f>21717.171</f>
        <v>21717.170999999998</v>
      </c>
      <c r="CL3">
        <f>21397.938</f>
        <v>21397.937999999998</v>
      </c>
      <c r="CM3">
        <f>21111.6</f>
        <v>21111.599999999999</v>
      </c>
      <c r="CN3">
        <f>20917.867</f>
        <v>20917.866999999998</v>
      </c>
      <c r="CO3">
        <f>20798.73</f>
        <v>20798.73</v>
      </c>
      <c r="CP3">
        <f>20580.912</f>
        <v>20580.912</v>
      </c>
      <c r="CQ3">
        <f>20328.553</f>
        <v>20328.553</v>
      </c>
      <c r="CR3">
        <f>20037.088</f>
        <v>20037.088</v>
      </c>
      <c r="CS3">
        <f>19692.595</f>
        <v>19692.595000000001</v>
      </c>
      <c r="CT3">
        <f>19438.643</f>
        <v>19438.643</v>
      </c>
      <c r="CU3">
        <f>19280.084</f>
        <v>19280.083999999999</v>
      </c>
      <c r="CV3">
        <f>19089.379</f>
        <v>19089.379000000001</v>
      </c>
      <c r="CW3">
        <f>18892.639</f>
        <v>18892.638999999999</v>
      </c>
      <c r="CX3">
        <f>18711.702</f>
        <v>18711.702000000001</v>
      </c>
      <c r="CY3">
        <f>18525.933</f>
        <v>18525.933000000001</v>
      </c>
      <c r="CZ3">
        <f>18435.137</f>
        <v>18435.136999999999</v>
      </c>
      <c r="DA3">
        <f>18401.626</f>
        <v>18401.626</v>
      </c>
      <c r="DB3">
        <f>18279.784</f>
        <v>18279.784</v>
      </c>
      <c r="DC3">
        <f>18063.529</f>
        <v>18063.528999999999</v>
      </c>
      <c r="DD3">
        <f>17912.079</f>
        <v>17912.079000000002</v>
      </c>
      <c r="DE3">
        <f>17804.228</f>
        <v>17804.227999999999</v>
      </c>
      <c r="DF3">
        <f>17518.508</f>
        <v>17518.508000000002</v>
      </c>
      <c r="DG3">
        <f>17197.738</f>
        <v>17197.738000000001</v>
      </c>
      <c r="DH3">
        <f>17192.019</f>
        <v>17192.019</v>
      </c>
      <c r="DI3">
        <f>16953.838</f>
        <v>16953.838</v>
      </c>
      <c r="DJ3">
        <f>16728.687</f>
        <v>16728.687000000002</v>
      </c>
      <c r="DK3">
        <f>16648.189</f>
        <v>16648.188999999998</v>
      </c>
      <c r="DL3">
        <f>16420.419</f>
        <v>16420.419000000002</v>
      </c>
      <c r="DM3">
        <f>16319.54</f>
        <v>16319.54</v>
      </c>
      <c r="DN3">
        <f>16207.115</f>
        <v>16207.115</v>
      </c>
      <c r="DO3">
        <f>16068.805</f>
        <v>16068.805</v>
      </c>
      <c r="DP3">
        <f>15842.259</f>
        <v>15842.259</v>
      </c>
      <c r="DQ3">
        <f>15647.681</f>
        <v>15647.681</v>
      </c>
      <c r="DR3">
        <f>15557.539</f>
        <v>15557.539000000001</v>
      </c>
      <c r="DS3">
        <f>15351.448</f>
        <v>15351.448</v>
      </c>
      <c r="DT3">
        <f>15309.474</f>
        <v>15309.474</v>
      </c>
      <c r="DU3">
        <f>15141.607</f>
        <v>15141.607</v>
      </c>
    </row>
    <row r="4" spans="1:125" x14ac:dyDescent="0.25">
      <c r="A4" t="str">
        <f>"        Personal Consumption Expenditures"</f>
        <v xml:space="preserve">        Personal Consumption Expenditures</v>
      </c>
      <c r="B4" t="str">
        <f>"GDP$PCE Index"</f>
        <v>GDP$PCE Index</v>
      </c>
      <c r="C4" t="str">
        <f t="shared" si="0"/>
        <v>PR005</v>
      </c>
      <c r="D4" t="str">
        <f t="shared" si="1"/>
        <v>PX_LAST</v>
      </c>
      <c r="E4" t="str">
        <f t="shared" si="2"/>
        <v>Dynamic</v>
      </c>
      <c r="F4">
        <f ca="1">IF(AND(ISNUMBER($F$39),$B$31=1),$F$39,HLOOKUP(INDIRECT(ADDRESS(2,COLUMN())),OFFSET($BN$2,0,0,ROW()-1,60),ROW()-1,FALSE))</f>
        <v>20640.878000000001</v>
      </c>
      <c r="G4">
        <f ca="1">IF(AND(ISNUMBER($G$39),$B$31=1),$G$39,HLOOKUP(INDIRECT(ADDRESS(2,COLUMN())),OFFSET($BN$2,0,0,ROW()-1,60),ROW()-1,FALSE))</f>
        <v>20461.601999999999</v>
      </c>
      <c r="H4">
        <f ca="1">IF(AND(ISNUMBER($H$39),$B$31=1),$H$39,HLOOKUP(INDIRECT(ADDRESS(2,COLUMN())),OFFSET($BN$2,0,0,ROW()-1,60),ROW()-1,FALSE))</f>
        <v>20255.455000000002</v>
      </c>
      <c r="I4">
        <f ca="1">IF(AND(ISNUMBER($I$39),$B$31=1),$I$39,HLOOKUP(INDIRECT(ADDRESS(2,COLUMN())),OFFSET($BN$2,0,0,ROW()-1,60),ROW()-1,FALSE))</f>
        <v>19938.424999999999</v>
      </c>
      <c r="J4">
        <f ca="1">IF(AND(ISNUMBER($J$39),$B$31=1),$J$39,HLOOKUP(INDIRECT(ADDRESS(2,COLUMN())),OFFSET($BN$2,0,0,ROW()-1,60),ROW()-1,FALSE))</f>
        <v>19682.699000000001</v>
      </c>
      <c r="K4">
        <f ca="1">IF(AND(ISNUMBER($K$39),$B$31=1),$K$39,HLOOKUP(INDIRECT(ADDRESS(2,COLUMN())),OFFSET($BN$2,0,0,ROW()-1,60),ROW()-1,FALSE))</f>
        <v>19424.775000000001</v>
      </c>
      <c r="L4">
        <f ca="1">IF(AND(ISNUMBER($L$39),$B$31=1),$L$39,HLOOKUP(INDIRECT(ADDRESS(2,COLUMN())),OFFSET($BN$2,0,0,ROW()-1,60),ROW()-1,FALSE))</f>
        <v>19170.153999999999</v>
      </c>
      <c r="M4">
        <f ca="1">IF(AND(ISNUMBER($M$39),$B$31=1),$M$39,HLOOKUP(INDIRECT(ADDRESS(2,COLUMN())),OFFSET($BN$2,0,0,ROW()-1,60),ROW()-1,FALSE))</f>
        <v>18928.987000000001</v>
      </c>
      <c r="N4">
        <f ca="1">IF(AND(ISNUMBER($N$39),$B$31=1),$N$39,HLOOKUP(INDIRECT(ADDRESS(2,COLUMN())),OFFSET($BN$2,0,0,ROW()-1,60),ROW()-1,FALSE))</f>
        <v>18685.723999999998</v>
      </c>
      <c r="O4">
        <f ca="1">IF(AND(ISNUMBER($O$39),$B$31=1),$O$39,HLOOKUP(INDIRECT(ADDRESS(2,COLUMN())),OFFSET($BN$2,0,0,ROW()-1,60),ROW()-1,FALSE))</f>
        <v>18506.210999999999</v>
      </c>
      <c r="P4">
        <f ca="1">IF(AND(ISNUMBER($P$39),$B$31=1),$P$39,HLOOKUP(INDIRECT(ADDRESS(2,COLUMN())),OFFSET($BN$2,0,0,ROW()-1,60),ROW()-1,FALSE))</f>
        <v>18108.27</v>
      </c>
      <c r="Q4">
        <f ca="1">IF(AND(ISNUMBER($Q$39),$B$31=1),$Q$39,HLOOKUP(INDIRECT(ADDRESS(2,COLUMN())),OFFSET($BN$2,0,0,ROW()-1,60),ROW()-1,FALSE))</f>
        <v>17876.234</v>
      </c>
      <c r="R4">
        <f ca="1">IF(AND(ISNUMBER($R$39),$B$31=1),$R$39,HLOOKUP(INDIRECT(ADDRESS(2,COLUMN())),OFFSET($BN$2,0,0,ROW()-1,60),ROW()-1,FALSE))</f>
        <v>17603.753000000001</v>
      </c>
      <c r="S4">
        <f ca="1">IF(AND(ISNUMBER($S$39),$B$31=1),$S$39,HLOOKUP(INDIRECT(ADDRESS(2,COLUMN())),OFFSET($BN$2,0,0,ROW()-1,60),ROW()-1,FALSE))</f>
        <v>17175.105</v>
      </c>
      <c r="T4">
        <f ca="1">IF(AND(ISNUMBER($T$39),$B$31=1),$T$39,HLOOKUP(INDIRECT(ADDRESS(2,COLUMN())),OFFSET($BN$2,0,0,ROW()-1,60),ROW()-1,FALSE))</f>
        <v>16816.132000000001</v>
      </c>
      <c r="U4">
        <f ca="1">IF(AND(ISNUMBER($U$39),$B$31=1),$U$39,HLOOKUP(INDIRECT(ADDRESS(2,COLUMN())),OFFSET($BN$2,0,0,ROW()-1,60),ROW()-1,FALSE))</f>
        <v>16363.876</v>
      </c>
      <c r="V4">
        <f ca="1">IF(AND(ISNUMBER($V$39),$B$31=1),$V$39,HLOOKUP(INDIRECT(ADDRESS(2,COLUMN())),OFFSET($BN$2,0,0,ROW()-1,60),ROW()-1,FALSE))</f>
        <v>16016.346</v>
      </c>
      <c r="W4">
        <f ca="1">IF(AND(ISNUMBER($W$39),$B$31=1),$W$39,HLOOKUP(INDIRECT(ADDRESS(2,COLUMN())),OFFSET($BN$2,0,0,ROW()-1,60),ROW()-1,FALSE))</f>
        <v>15259.427</v>
      </c>
      <c r="X4">
        <f ca="1">IF(AND(ISNUMBER($X$39),$B$31=1),$X$39,HLOOKUP(INDIRECT(ADDRESS(2,COLUMN())),OFFSET($BN$2,0,0,ROW()-1,60),ROW()-1,FALSE))</f>
        <v>14752.732</v>
      </c>
      <c r="Y4">
        <f ca="1">IF(AND(ISNUMBER($Y$39),$B$31=1),$Y$39,HLOOKUP(INDIRECT(ADDRESS(2,COLUMN())),OFFSET($BN$2,0,0,ROW()-1,60),ROW()-1,FALSE))</f>
        <v>14478.032999999999</v>
      </c>
      <c r="Z4">
        <f ca="1">IF(AND(ISNUMBER($Z$39),$B$31=1),$Z$39,HLOOKUP(INDIRECT(ADDRESS(2,COLUMN())),OFFSET($BN$2,0,0,ROW()-1,60),ROW()-1,FALSE))</f>
        <v>13175.637000000001</v>
      </c>
      <c r="AA4">
        <f ca="1">IF(AND(ISNUMBER($AA$39),$B$31=1),$AA$39,HLOOKUP(INDIRECT(ADDRESS(2,COLUMN())),OFFSET($BN$2,0,0,ROW()-1,60),ROW()-1,FALSE))</f>
        <v>14496.227000000001</v>
      </c>
      <c r="AB4">
        <f ca="1">IF(AND(ISNUMBER($AB$39),$B$31=1),$AB$39,HLOOKUP(INDIRECT(ADDRESS(2,COLUMN())),OFFSET($BN$2,0,0,ROW()-1,60),ROW()-1,FALSE))</f>
        <v>14701.038</v>
      </c>
      <c r="AC4">
        <f ca="1">IF(AND(ISNUMBER($AC$39),$B$31=1),$AC$39,HLOOKUP(INDIRECT(ADDRESS(2,COLUMN())),OFFSET($BN$2,0,0,ROW()-1,60),ROW()-1,FALSE))</f>
        <v>14548.281999999999</v>
      </c>
      <c r="AD4">
        <f ca="1">IF(AND(ISNUMBER($AD$39),$B$31=1),$AD$39,HLOOKUP(INDIRECT(ADDRESS(2,COLUMN())),OFFSET($BN$2,0,0,ROW()-1,60),ROW()-1,FALSE))</f>
        <v>14350.662</v>
      </c>
      <c r="AE4">
        <f ca="1">IF(AND(ISNUMBER($AE$39),$B$31=1),$AE$39,HLOOKUP(INDIRECT(ADDRESS(2,COLUMN())),OFFSET($BN$2,0,0,ROW()-1,60),ROW()-1,FALSE))</f>
        <v>14150.191000000001</v>
      </c>
      <c r="AF4">
        <f ca="1">IF(AND(ISNUMBER($AF$39),$B$31=1),$AF$39,HLOOKUP(INDIRECT(ADDRESS(2,COLUMN())),OFFSET($BN$2,0,0,ROW()-1,60),ROW()-1,FALSE))</f>
        <v>14099.199000000001</v>
      </c>
      <c r="AG4">
        <f ca="1">IF(AND(ISNUMBER($AG$39),$B$31=1),$AG$39,HLOOKUP(INDIRECT(ADDRESS(2,COLUMN())),OFFSET($BN$2,0,0,ROW()-1,60),ROW()-1,FALSE))</f>
        <v>14002.199000000001</v>
      </c>
      <c r="AH4">
        <f ca="1">IF(AND(ISNUMBER($AH$39),$B$31=1),$AH$39,HLOOKUP(INDIRECT(ADDRESS(2,COLUMN())),OFFSET($BN$2,0,0,ROW()-1,60),ROW()-1,FALSE))</f>
        <v>13891.294</v>
      </c>
      <c r="AI4">
        <f ca="1">IF(AND(ISNUMBER($AI$39),$B$31=1),$AI$39,HLOOKUP(INDIRECT(ADDRESS(2,COLUMN())),OFFSET($BN$2,0,0,ROW()-1,60),ROW()-1,FALSE))</f>
        <v>13745.074000000001</v>
      </c>
      <c r="AJ4">
        <f ca="1">IF(AND(ISNUMBER($AJ$39),$B$31=1),$AJ$39,HLOOKUP(INDIRECT(ADDRESS(2,COLUMN())),OFFSET($BN$2,0,0,ROW()-1,60),ROW()-1,FALSE))</f>
        <v>13551.401</v>
      </c>
      <c r="AK4">
        <f ca="1">IF(AND(ISNUMBER($AK$39),$B$31=1),$AK$39,HLOOKUP(INDIRECT(ADDRESS(2,COLUMN())),OFFSET($BN$2,0,0,ROW()-1,60),ROW()-1,FALSE))</f>
        <v>13325.065000000001</v>
      </c>
      <c r="AL4">
        <f ca="1">IF(AND(ISNUMBER($AL$39),$B$31=1),$AL$39,HLOOKUP(INDIRECT(ADDRESS(2,COLUMN())),OFFSET($BN$2,0,0,ROW()-1,60),ROW()-1,FALSE))</f>
        <v>13188.73</v>
      </c>
      <c r="AM4">
        <f ca="1">IF(AND(ISNUMBER($AM$39),$B$31=1),$AM$39,HLOOKUP(INDIRECT(ADDRESS(2,COLUMN())),OFFSET($BN$2,0,0,ROW()-1,60),ROW()-1,FALSE))</f>
        <v>13097.306</v>
      </c>
      <c r="AN4">
        <f ca="1">IF(AND(ISNUMBER($AN$39),$B$31=1),$AN$39,HLOOKUP(INDIRECT(ADDRESS(2,COLUMN())),OFFSET($BN$2,0,0,ROW()-1,60),ROW()-1,FALSE))</f>
        <v>12921.989</v>
      </c>
      <c r="AO4">
        <f ca="1">IF(AND(ISNUMBER($AO$39),$B$31=1),$AO$39,HLOOKUP(INDIRECT(ADDRESS(2,COLUMN())),OFFSET($BN$2,0,0,ROW()-1,60),ROW()-1,FALSE))</f>
        <v>12797.126</v>
      </c>
      <c r="AP4">
        <f ca="1">IF(AND(ISNUMBER($AP$39),$B$31=1),$AP$39,HLOOKUP(INDIRECT(ADDRESS(2,COLUMN())),OFFSET($BN$2,0,0,ROW()-1,60),ROW()-1,FALSE))</f>
        <v>12665.124</v>
      </c>
      <c r="AQ4">
        <f ca="1">IF(AND(ISNUMBER($AQ$39),$B$31=1),$AQ$39,HLOOKUP(INDIRECT(ADDRESS(2,COLUMN())),OFFSET($BN$2,0,0,ROW()-1,60),ROW()-1,FALSE))</f>
        <v>12523.156000000001</v>
      </c>
      <c r="AR4">
        <f ca="1">IF(AND(ISNUMBER($AR$39),$B$31=1),$AR$39,HLOOKUP(INDIRECT(ADDRESS(2,COLUMN())),OFFSET($BN$2,0,0,ROW()-1,60),ROW()-1,FALSE))</f>
        <v>12423.352999999999</v>
      </c>
      <c r="AS4">
        <f ca="1">IF(AND(ISNUMBER($AS$39),$B$31=1),$AS$39,HLOOKUP(INDIRECT(ADDRESS(2,COLUMN())),OFFSET($BN$2,0,0,ROW()-1,60),ROW()-1,FALSE))</f>
        <v>12382.494000000001</v>
      </c>
      <c r="AT4">
        <f ca="1">IF(AND(ISNUMBER($AT$39),$B$31=1),$AT$39,HLOOKUP(INDIRECT(ADDRESS(2,COLUMN())),OFFSET($BN$2,0,0,ROW()-1,60),ROW()-1,FALSE))</f>
        <v>12264.14</v>
      </c>
      <c r="AU4">
        <f ca="1">IF(AND(ISNUMBER($AU$39),$B$31=1),$AU$39,HLOOKUP(INDIRECT(ADDRESS(2,COLUMN())),OFFSET($BN$2,0,0,ROW()-1,60),ROW()-1,FALSE))</f>
        <v>12119.763000000001</v>
      </c>
      <c r="AV4">
        <f ca="1">IF(AND(ISNUMBER($AV$39),$B$31=1),$AV$39,HLOOKUP(INDIRECT(ADDRESS(2,COLUMN())),OFFSET($BN$2,0,0,ROW()-1,60),ROW()-1,FALSE))</f>
        <v>12081.561</v>
      </c>
      <c r="AW4">
        <f ca="1">IF(AND(ISNUMBER($AW$39),$B$31=1),$AW$39,HLOOKUP(INDIRECT(ADDRESS(2,COLUMN())),OFFSET($BN$2,0,0,ROW()-1,60),ROW()-1,FALSE))</f>
        <v>11959.79</v>
      </c>
      <c r="AX4">
        <f ca="1">IF(AND(ISNUMBER($AX$39),$B$31=1),$AX$39,HLOOKUP(INDIRECT(ADDRESS(2,COLUMN())),OFFSET($BN$2,0,0,ROW()-1,60),ROW()-1,FALSE))</f>
        <v>11810.450999999999</v>
      </c>
      <c r="AY4">
        <f ca="1">IF(AND(ISNUMBER($AY$39),$B$31=1),$AY$39,HLOOKUP(INDIRECT(ADDRESS(2,COLUMN())),OFFSET($BN$2,0,0,ROW()-1,60),ROW()-1,FALSE))</f>
        <v>11646.001</v>
      </c>
      <c r="AZ4">
        <f ca="1">IF(AND(ISNUMBER($AZ$39),$B$31=1),$AZ$39,HLOOKUP(INDIRECT(ADDRESS(2,COLUMN())),OFFSET($BN$2,0,0,ROW()-1,60),ROW()-1,FALSE))</f>
        <v>11551.228999999999</v>
      </c>
      <c r="BA4">
        <f ca="1">IF(AND(ISNUMBER($BA$39),$B$31=1),$BA$39,HLOOKUP(INDIRECT(ADDRESS(2,COLUMN())),OFFSET($BN$2,0,0,ROW()-1,60),ROW()-1,FALSE))</f>
        <v>11408.359</v>
      </c>
      <c r="BB4">
        <f ca="1">IF(AND(ISNUMBER($BB$39),$B$31=1),$BB$39,HLOOKUP(INDIRECT(ADDRESS(2,COLUMN())),OFFSET($BN$2,0,0,ROW()-1,60),ROW()-1,FALSE))</f>
        <v>11315.681</v>
      </c>
      <c r="BC4">
        <f ca="1">IF(AND(ISNUMBER($BC$39),$B$31=1),$BC$39,HLOOKUP(INDIRECT(ADDRESS(2,COLUMN())),OFFSET($BN$2,0,0,ROW()-1,60),ROW()-1,FALSE))</f>
        <v>11277.664000000001</v>
      </c>
      <c r="BD4">
        <f ca="1">IF(AND(ISNUMBER($BD$39),$B$31=1),$BD$39,HLOOKUP(INDIRECT(ADDRESS(2,COLUMN())),OFFSET($BN$2,0,0,ROW()-1,60),ROW()-1,FALSE))</f>
        <v>11165.703</v>
      </c>
      <c r="BE4">
        <f ca="1">IF(AND(ISNUMBER($BE$39),$B$31=1),$BE$39,HLOOKUP(INDIRECT(ADDRESS(2,COLUMN())),OFFSET($BN$2,0,0,ROW()-1,60),ROW()-1,FALSE))</f>
        <v>11059.393</v>
      </c>
      <c r="BF4">
        <f ca="1">IF(AND(ISNUMBER($BF$39),$B$31=1),$BF$39,HLOOKUP(INDIRECT(ADDRESS(2,COLUMN())),OFFSET($BN$2,0,0,ROW()-1,60),ROW()-1,FALSE))</f>
        <v>11005.055</v>
      </c>
      <c r="BG4">
        <f ca="1">IF(AND(ISNUMBER($BG$39),$B$31=1),$BG$39,HLOOKUP(INDIRECT(ADDRESS(2,COLUMN())),OFFSET($BN$2,0,0,ROW()-1,60),ROW()-1,FALSE))</f>
        <v>10959.300999999999</v>
      </c>
      <c r="BH4">
        <f ca="1">IF(AND(ISNUMBER($BH$39),$B$31=1),$BH$39,HLOOKUP(INDIRECT(ADDRESS(2,COLUMN())),OFFSET($BN$2,0,0,ROW()-1,60),ROW()-1,FALSE))</f>
        <v>10809.186</v>
      </c>
      <c r="BI4">
        <f ca="1">IF(AND(ISNUMBER($BI$39),$B$31=1),$BI$39,HLOOKUP(INDIRECT(ADDRESS(2,COLUMN())),OFFSET($BN$2,0,0,ROW()-1,60),ROW()-1,FALSE))</f>
        <v>10755.029</v>
      </c>
      <c r="BJ4">
        <f ca="1">IF(AND(ISNUMBER($BJ$39),$B$31=1),$BJ$39,HLOOKUP(INDIRECT(ADDRESS(2,COLUMN())),OFFSET($BN$2,0,0,ROW()-1,60),ROW()-1,FALSE))</f>
        <v>10673.018</v>
      </c>
      <c r="BK4">
        <f ca="1">IF(AND(ISNUMBER($BK$39),$B$31=1),$BK$39,HLOOKUP(INDIRECT(ADDRESS(2,COLUMN())),OFFSET($BN$2,0,0,ROW()-1,60),ROW()-1,FALSE))</f>
        <v>10558.195</v>
      </c>
      <c r="BL4">
        <f ca="1">IF(AND(ISNUMBER($BL$39),$B$31=1),$BL$39,HLOOKUP(INDIRECT(ADDRESS(2,COLUMN())),OFFSET($BN$2,0,0,ROW()-1,60),ROW()-1,FALSE))</f>
        <v>10430.304</v>
      </c>
      <c r="BM4">
        <f ca="1">IF(AND(ISNUMBER($BM$39),$B$31=1),$BM$39,HLOOKUP(INDIRECT(ADDRESS(2,COLUMN())),OFFSET($BN$2,0,0,ROW()-1,60),ROW()-1,FALSE))</f>
        <v>10300.754000000001</v>
      </c>
      <c r="BN4">
        <f>20640.878</f>
        <v>20640.878000000001</v>
      </c>
      <c r="BO4">
        <f>20461.602</f>
        <v>20461.601999999999</v>
      </c>
      <c r="BP4">
        <f>20255.455</f>
        <v>20255.455000000002</v>
      </c>
      <c r="BQ4">
        <f>19938.425</f>
        <v>19938.424999999999</v>
      </c>
      <c r="BR4">
        <f>19682.699</f>
        <v>19682.699000000001</v>
      </c>
      <c r="BS4">
        <f>19424.775</f>
        <v>19424.775000000001</v>
      </c>
      <c r="BT4">
        <f>19170.154</f>
        <v>19170.153999999999</v>
      </c>
      <c r="BU4">
        <f>18928.987</f>
        <v>18928.987000000001</v>
      </c>
      <c r="BV4">
        <f>18685.724</f>
        <v>18685.723999999998</v>
      </c>
      <c r="BW4">
        <f>18506.211</f>
        <v>18506.210999999999</v>
      </c>
      <c r="BX4">
        <f>18108.27</f>
        <v>18108.27</v>
      </c>
      <c r="BY4">
        <f>17876.234</f>
        <v>17876.234</v>
      </c>
      <c r="BZ4">
        <f>17603.753</f>
        <v>17603.753000000001</v>
      </c>
      <c r="CA4">
        <f>17175.105</f>
        <v>17175.105</v>
      </c>
      <c r="CB4">
        <f>16816.132</f>
        <v>16816.132000000001</v>
      </c>
      <c r="CC4">
        <f>16363.876</f>
        <v>16363.876</v>
      </c>
      <c r="CD4">
        <f>16016.346</f>
        <v>16016.346</v>
      </c>
      <c r="CE4">
        <f>15259.427</f>
        <v>15259.427</v>
      </c>
      <c r="CF4">
        <f>14752.732</f>
        <v>14752.732</v>
      </c>
      <c r="CG4">
        <f>14478.033</f>
        <v>14478.032999999999</v>
      </c>
      <c r="CH4">
        <f>13175.637</f>
        <v>13175.637000000001</v>
      </c>
      <c r="CI4">
        <f>14496.227</f>
        <v>14496.227000000001</v>
      </c>
      <c r="CJ4">
        <f>14701.038</f>
        <v>14701.038</v>
      </c>
      <c r="CK4">
        <f>14548.282</f>
        <v>14548.281999999999</v>
      </c>
      <c r="CL4">
        <f>14350.662</f>
        <v>14350.662</v>
      </c>
      <c r="CM4">
        <f>14150.191</f>
        <v>14150.191000000001</v>
      </c>
      <c r="CN4">
        <f>14099.199</f>
        <v>14099.199000000001</v>
      </c>
      <c r="CO4">
        <f>14002.199</f>
        <v>14002.199000000001</v>
      </c>
      <c r="CP4">
        <f>13891.294</f>
        <v>13891.294</v>
      </c>
      <c r="CQ4">
        <f>13745.074</f>
        <v>13745.074000000001</v>
      </c>
      <c r="CR4">
        <f>13551.401</f>
        <v>13551.401</v>
      </c>
      <c r="CS4">
        <f>13325.065</f>
        <v>13325.065000000001</v>
      </c>
      <c r="CT4">
        <f>13188.73</f>
        <v>13188.73</v>
      </c>
      <c r="CU4">
        <f>13097.306</f>
        <v>13097.306</v>
      </c>
      <c r="CV4">
        <f>12921.989</f>
        <v>12921.989</v>
      </c>
      <c r="CW4">
        <f>12797.126</f>
        <v>12797.126</v>
      </c>
      <c r="CX4">
        <f>12665.124</f>
        <v>12665.124</v>
      </c>
      <c r="CY4">
        <f>12523.156</f>
        <v>12523.156000000001</v>
      </c>
      <c r="CZ4">
        <f>12423.353</f>
        <v>12423.352999999999</v>
      </c>
      <c r="DA4">
        <f>12382.494</f>
        <v>12382.494000000001</v>
      </c>
      <c r="DB4">
        <f>12264.14</f>
        <v>12264.14</v>
      </c>
      <c r="DC4">
        <f>12119.763</f>
        <v>12119.763000000001</v>
      </c>
      <c r="DD4">
        <f>12081.561</f>
        <v>12081.561</v>
      </c>
      <c r="DE4">
        <f>11959.79</f>
        <v>11959.79</v>
      </c>
      <c r="DF4">
        <f>11810.451</f>
        <v>11810.450999999999</v>
      </c>
      <c r="DG4">
        <f>11646.001</f>
        <v>11646.001</v>
      </c>
      <c r="DH4">
        <f>11551.229</f>
        <v>11551.228999999999</v>
      </c>
      <c r="DI4">
        <f>11408.359</f>
        <v>11408.359</v>
      </c>
      <c r="DJ4">
        <f>11315.681</f>
        <v>11315.681</v>
      </c>
      <c r="DK4">
        <f>11277.664</f>
        <v>11277.664000000001</v>
      </c>
      <c r="DL4">
        <f>11165.703</f>
        <v>11165.703</v>
      </c>
      <c r="DM4">
        <f>11059.393</f>
        <v>11059.393</v>
      </c>
      <c r="DN4">
        <f>11005.055</f>
        <v>11005.055</v>
      </c>
      <c r="DO4">
        <f>10959.301</f>
        <v>10959.300999999999</v>
      </c>
      <c r="DP4">
        <f>10809.186</f>
        <v>10809.186</v>
      </c>
      <c r="DQ4">
        <f>10755.029</f>
        <v>10755.029</v>
      </c>
      <c r="DR4">
        <f>10673.018</f>
        <v>10673.018</v>
      </c>
      <c r="DS4">
        <f>10558.195</f>
        <v>10558.195</v>
      </c>
      <c r="DT4">
        <f>10430.304</f>
        <v>10430.304</v>
      </c>
      <c r="DU4">
        <f>10300.754</f>
        <v>10300.754000000001</v>
      </c>
    </row>
    <row r="5" spans="1:125" x14ac:dyDescent="0.25">
      <c r="A5" t="str">
        <f>"        Fixed Investment"</f>
        <v xml:space="preserve">        Fixed Investment</v>
      </c>
      <c r="B5" t="str">
        <f>"GPDIFXIN Index"</f>
        <v>GPDIFXIN Index</v>
      </c>
      <c r="C5" t="str">
        <f t="shared" si="0"/>
        <v>PR005</v>
      </c>
      <c r="D5" t="str">
        <f t="shared" si="1"/>
        <v>PX_LAST</v>
      </c>
      <c r="E5" t="str">
        <f t="shared" si="2"/>
        <v>Dynamic</v>
      </c>
      <c r="F5">
        <f ca="1">IF(AND(ISNUMBER($F$40),$B$31=1),$F$40,HLOOKUP(INDIRECT(ADDRESS(2,COLUMN())),OFFSET($BN$2,0,0,ROW()-1,60),ROW()-1,FALSE))</f>
        <v>5402.683</v>
      </c>
      <c r="G5">
        <f ca="1">IF(AND(ISNUMBER($G$40),$B$31=1),$G$40,HLOOKUP(INDIRECT(ADDRESS(2,COLUMN())),OFFSET($BN$2,0,0,ROW()-1,60),ROW()-1,FALSE))</f>
        <v>5388.7290000000003</v>
      </c>
      <c r="H5">
        <f ca="1">IF(AND(ISNUMBER($H$40),$B$31=1),$H$40,HLOOKUP(INDIRECT(ADDRESS(2,COLUMN())),OFFSET($BN$2,0,0,ROW()-1,60),ROW()-1,FALSE))</f>
        <v>5275.1289999999999</v>
      </c>
      <c r="I5">
        <f ca="1">IF(AND(ISNUMBER($I$40),$B$31=1),$I$40,HLOOKUP(INDIRECT(ADDRESS(2,COLUMN())),OFFSET($BN$2,0,0,ROW()-1,60),ROW()-1,FALSE))</f>
        <v>5269.1949999999997</v>
      </c>
      <c r="J5">
        <f ca="1">IF(AND(ISNUMBER($J$40),$B$31=1),$J$40,HLOOKUP(INDIRECT(ADDRESS(2,COLUMN())),OFFSET($BN$2,0,0,ROW()-1,60),ROW()-1,FALSE))</f>
        <v>5201.0529999999999</v>
      </c>
      <c r="K5">
        <f ca="1">IF(AND(ISNUMBER($K$40),$B$31=1),$K$40,HLOOKUP(INDIRECT(ADDRESS(2,COLUMN())),OFFSET($BN$2,0,0,ROW()-1,60),ROW()-1,FALSE))</f>
        <v>5138.4989999999998</v>
      </c>
      <c r="L5">
        <f ca="1">IF(AND(ISNUMBER($L$40),$B$31=1),$L$40,HLOOKUP(INDIRECT(ADDRESS(2,COLUMN())),OFFSET($BN$2,0,0,ROW()-1,60),ROW()-1,FALSE))</f>
        <v>5046.1260000000002</v>
      </c>
      <c r="M5">
        <f ca="1">IF(AND(ISNUMBER($M$40),$B$31=1),$M$40,HLOOKUP(INDIRECT(ADDRESS(2,COLUMN())),OFFSET($BN$2,0,0,ROW()-1,60),ROW()-1,FALSE))</f>
        <v>4974.1629999999996</v>
      </c>
      <c r="N5">
        <f ca="1">IF(AND(ISNUMBER($N$40),$B$31=1),$N$40,HLOOKUP(INDIRECT(ADDRESS(2,COLUMN())),OFFSET($BN$2,0,0,ROW()-1,60),ROW()-1,FALSE))</f>
        <v>4925.6549999999997</v>
      </c>
      <c r="O5">
        <f ca="1">IF(AND(ISNUMBER($O$40),$B$31=1),$O$40,HLOOKUP(INDIRECT(ADDRESS(2,COLUMN())),OFFSET($BN$2,0,0,ROW()-1,60),ROW()-1,FALSE))</f>
        <v>4826.317</v>
      </c>
      <c r="P5">
        <f ca="1">IF(AND(ISNUMBER($P$40),$B$31=1),$P$40,HLOOKUP(INDIRECT(ADDRESS(2,COLUMN())),OFFSET($BN$2,0,0,ROW()-1,60),ROW()-1,FALSE))</f>
        <v>4749.0420000000004</v>
      </c>
      <c r="Q5">
        <f ca="1">IF(AND(ISNUMBER($Q$40),$B$31=1),$Q$40,HLOOKUP(INDIRECT(ADDRESS(2,COLUMN())),OFFSET($BN$2,0,0,ROW()-1,60),ROW()-1,FALSE))</f>
        <v>4727.8029999999999</v>
      </c>
      <c r="R5">
        <f ca="1">IF(AND(ISNUMBER($R$40),$B$31=1),$R$40,HLOOKUP(INDIRECT(ADDRESS(2,COLUMN())),OFFSET($BN$2,0,0,ROW()-1,60),ROW()-1,FALSE))</f>
        <v>4669.5709999999999</v>
      </c>
      <c r="S5">
        <f ca="1">IF(AND(ISNUMBER($S$40),$B$31=1),$S$40,HLOOKUP(INDIRECT(ADDRESS(2,COLUMN())),OFFSET($BN$2,0,0,ROW()-1,60),ROW()-1,FALSE))</f>
        <v>4539.8829999999998</v>
      </c>
      <c r="T5">
        <f ca="1">IF(AND(ISNUMBER($T$40),$B$31=1),$T$40,HLOOKUP(INDIRECT(ADDRESS(2,COLUMN())),OFFSET($BN$2,0,0,ROW()-1,60),ROW()-1,FALSE))</f>
        <v>4346.3900000000003</v>
      </c>
      <c r="U5">
        <f ca="1">IF(AND(ISNUMBER($U$40),$B$31=1),$U$40,HLOOKUP(INDIRECT(ADDRESS(2,COLUMN())),OFFSET($BN$2,0,0,ROW()-1,60),ROW()-1,FALSE))</f>
        <v>4231.018</v>
      </c>
      <c r="V5">
        <f ca="1">IF(AND(ISNUMBER($V$40),$B$31=1),$V$40,HLOOKUP(INDIRECT(ADDRESS(2,COLUMN())),OFFSET($BN$2,0,0,ROW()-1,60),ROW()-1,FALSE))</f>
        <v>4182.192</v>
      </c>
      <c r="W5">
        <f ca="1">IF(AND(ISNUMBER($W$40),$B$31=1),$W$40,HLOOKUP(INDIRECT(ADDRESS(2,COLUMN())),OFFSET($BN$2,0,0,ROW()-1,60),ROW()-1,FALSE))</f>
        <v>4086.7170000000001</v>
      </c>
      <c r="X5">
        <f ca="1">IF(AND(ISNUMBER($X$40),$B$31=1),$X$40,HLOOKUP(INDIRECT(ADDRESS(2,COLUMN())),OFFSET($BN$2,0,0,ROW()-1,60),ROW()-1,FALSE))</f>
        <v>3968.2939999999999</v>
      </c>
      <c r="Y5">
        <f ca="1">IF(AND(ISNUMBER($Y$40),$B$31=1),$Y$40,HLOOKUP(INDIRECT(ADDRESS(2,COLUMN())),OFFSET($BN$2,0,0,ROW()-1,60),ROW()-1,FALSE))</f>
        <v>3802.3719999999998</v>
      </c>
      <c r="Z5">
        <f ca="1">IF(AND(ISNUMBER($Z$40),$B$31=1),$Z$40,HLOOKUP(INDIRECT(ADDRESS(2,COLUMN())),OFFSET($BN$2,0,0,ROW()-1,60),ROW()-1,FALSE))</f>
        <v>3552.634</v>
      </c>
      <c r="AA5">
        <f ca="1">IF(AND(ISNUMBER($AA$40),$B$31=1),$AA$40,HLOOKUP(INDIRECT(ADDRESS(2,COLUMN())),OFFSET($BN$2,0,0,ROW()-1,60),ROW()-1,FALSE))</f>
        <v>3841.0360000000001</v>
      </c>
      <c r="AB5">
        <f ca="1">IF(AND(ISNUMBER($AB$40),$B$31=1),$AB$40,HLOOKUP(INDIRECT(ADDRESS(2,COLUMN())),OFFSET($BN$2,0,0,ROW()-1,60),ROW()-1,FALSE))</f>
        <v>3857.1149999999998</v>
      </c>
      <c r="AC5">
        <f ca="1">IF(AND(ISNUMBER($AC$40),$B$31=1),$AC$40,HLOOKUP(INDIRECT(ADDRESS(2,COLUMN())),OFFSET($BN$2,0,0,ROW()-1,60),ROW()-1,FALSE))</f>
        <v>3869.3649999999998</v>
      </c>
      <c r="AD5">
        <f ca="1">IF(AND(ISNUMBER($AD$40),$B$31=1),$AD$40,HLOOKUP(INDIRECT(ADDRESS(2,COLUMN())),OFFSET($BN$2,0,0,ROW()-1,60),ROW()-1,FALSE))</f>
        <v>3820.7890000000002</v>
      </c>
      <c r="AE5">
        <f ca="1">IF(AND(ISNUMBER($AE$40),$B$31=1),$AE$40,HLOOKUP(INDIRECT(ADDRESS(2,COLUMN())),OFFSET($BN$2,0,0,ROW()-1,60),ROW()-1,FALSE))</f>
        <v>3735.8449999999998</v>
      </c>
      <c r="AF5">
        <f ca="1">IF(AND(ISNUMBER($AF$40),$B$31=1),$AF$40,HLOOKUP(INDIRECT(ADDRESS(2,COLUMN())),OFFSET($BN$2,0,0,ROW()-1,60),ROW()-1,FALSE))</f>
        <v>3706.7040000000002</v>
      </c>
      <c r="AG5">
        <f ca="1">IF(AND(ISNUMBER($AG$40),$B$31=1),$AG$40,HLOOKUP(INDIRECT(ADDRESS(2,COLUMN())),OFFSET($BN$2,0,0,ROW()-1,60),ROW()-1,FALSE))</f>
        <v>3690.0279999999998</v>
      </c>
      <c r="AH5">
        <f ca="1">IF(AND(ISNUMBER($AH$40),$B$31=1),$AH$40,HLOOKUP(INDIRECT(ADDRESS(2,COLUMN())),OFFSET($BN$2,0,0,ROW()-1,60),ROW()-1,FALSE))</f>
        <v>3666.1289999999999</v>
      </c>
      <c r="AI5">
        <f ca="1">IF(AND(ISNUMBER($AI$40),$B$31=1),$AI$40,HLOOKUP(INDIRECT(ADDRESS(2,COLUMN())),OFFSET($BN$2,0,0,ROW()-1,60),ROW()-1,FALSE))</f>
        <v>3610.5889999999999</v>
      </c>
      <c r="AJ5">
        <f ca="1">IF(AND(ISNUMBER($AJ$40),$B$31=1),$AJ$40,HLOOKUP(INDIRECT(ADDRESS(2,COLUMN())),OFFSET($BN$2,0,0,ROW()-1,60),ROW()-1,FALSE))</f>
        <v>3530.4479999999999</v>
      </c>
      <c r="AK5">
        <f ca="1">IF(AND(ISNUMBER($AK$40),$B$31=1),$AK$40,HLOOKUP(INDIRECT(ADDRESS(2,COLUMN())),OFFSET($BN$2,0,0,ROW()-1,60),ROW()-1,FALSE))</f>
        <v>3445.2829999999999</v>
      </c>
      <c r="AL5">
        <f ca="1">IF(AND(ISNUMBER($AL$40),$B$31=1),$AL$40,HLOOKUP(INDIRECT(ADDRESS(2,COLUMN())),OFFSET($BN$2,0,0,ROW()-1,60),ROW()-1,FALSE))</f>
        <v>3407.44</v>
      </c>
      <c r="AM5">
        <f ca="1">IF(AND(ISNUMBER($AM$40),$B$31=1),$AM$40,HLOOKUP(INDIRECT(ADDRESS(2,COLUMN())),OFFSET($BN$2,0,0,ROW()-1,60),ROW()-1,FALSE))</f>
        <v>3356.7910000000002</v>
      </c>
      <c r="AN5">
        <f ca="1">IF(AND(ISNUMBER($AN$40),$B$31=1),$AN$40,HLOOKUP(INDIRECT(ADDRESS(2,COLUMN())),OFFSET($BN$2,0,0,ROW()-1,60),ROW()-1,FALSE))</f>
        <v>3302.8049999999998</v>
      </c>
      <c r="AO5">
        <f ca="1">IF(AND(ISNUMBER($AO$40),$B$31=1),$AO$40,HLOOKUP(INDIRECT(ADDRESS(2,COLUMN())),OFFSET($BN$2,0,0,ROW()-1,60),ROW()-1,FALSE))</f>
        <v>3256.2469999999998</v>
      </c>
      <c r="AP5">
        <f ca="1">IF(AND(ISNUMBER($AP$40),$B$31=1),$AP$40,HLOOKUP(INDIRECT(ADDRESS(2,COLUMN())),OFFSET($BN$2,0,0,ROW()-1,60),ROW()-1,FALSE))</f>
        <v>3215.8969999999999</v>
      </c>
      <c r="AQ5">
        <f ca="1">IF(AND(ISNUMBER($AQ$40),$B$31=1),$AQ$40,HLOOKUP(INDIRECT(ADDRESS(2,COLUMN())),OFFSET($BN$2,0,0,ROW()-1,60),ROW()-1,FALSE))</f>
        <v>3181.9989999999998</v>
      </c>
      <c r="AR5">
        <f ca="1">IF(AND(ISNUMBER($AR$40),$B$31=1),$AR$40,HLOOKUP(INDIRECT(ADDRESS(2,COLUMN())),OFFSET($BN$2,0,0,ROW()-1,60),ROW()-1,FALSE))</f>
        <v>3169.7289999999998</v>
      </c>
      <c r="AS5">
        <f ca="1">IF(AND(ISNUMBER($AS$40),$B$31=1),$AS$40,HLOOKUP(INDIRECT(ADDRESS(2,COLUMN())),OFFSET($BN$2,0,0,ROW()-1,60),ROW()-1,FALSE))</f>
        <v>3176.8090000000002</v>
      </c>
      <c r="AT5">
        <f ca="1">IF(AND(ISNUMBER($AT$40),$B$31=1),$AT$40,HLOOKUP(INDIRECT(ADDRESS(2,COLUMN())),OFFSET($BN$2,0,0,ROW()-1,60),ROW()-1,FALSE))</f>
        <v>3139.8560000000002</v>
      </c>
      <c r="AU5">
        <f ca="1">IF(AND(ISNUMBER($AU$40),$B$31=1),$AU$40,HLOOKUP(INDIRECT(ADDRESS(2,COLUMN())),OFFSET($BN$2,0,0,ROW()-1,60),ROW()-1,FALSE))</f>
        <v>3107.0410000000002</v>
      </c>
      <c r="AV5">
        <f ca="1">IF(AND(ISNUMBER($AV$40),$B$31=1),$AV$40,HLOOKUP(INDIRECT(ADDRESS(2,COLUMN())),OFFSET($BN$2,0,0,ROW()-1,60),ROW()-1,FALSE))</f>
        <v>3086.53</v>
      </c>
      <c r="AW5">
        <f ca="1">IF(AND(ISNUMBER($AW$40),$B$31=1),$AW$40,HLOOKUP(INDIRECT(ADDRESS(2,COLUMN())),OFFSET($BN$2,0,0,ROW()-1,60),ROW()-1,FALSE))</f>
        <v>3038.1129999999998</v>
      </c>
      <c r="AX5">
        <f ca="1">IF(AND(ISNUMBER($AX$40),$B$31=1),$AX$40,HLOOKUP(INDIRECT(ADDRESS(2,COLUMN())),OFFSET($BN$2,0,0,ROW()-1,60),ROW()-1,FALSE))</f>
        <v>2961.3429999999998</v>
      </c>
      <c r="AY5">
        <f ca="1">IF(AND(ISNUMBER($AY$40),$B$31=1),$AY$40,HLOOKUP(INDIRECT(ADDRESS(2,COLUMN())),OFFSET($BN$2,0,0,ROW()-1,60),ROW()-1,FALSE))</f>
        <v>2870.77</v>
      </c>
      <c r="AZ5">
        <f ca="1">IF(AND(ISNUMBER($AZ$40),$B$31=1),$AZ$40,HLOOKUP(INDIRECT(ADDRESS(2,COLUMN())),OFFSET($BN$2,0,0,ROW()-1,60),ROW()-1,FALSE))</f>
        <v>2816.9479999999999</v>
      </c>
      <c r="BA5">
        <f ca="1">IF(AND(ISNUMBER($BA$40),$B$31=1),$BA$40,HLOOKUP(INDIRECT(ADDRESS(2,COLUMN())),OFFSET($BN$2,0,0,ROW()-1,60),ROW()-1,FALSE))</f>
        <v>2755.7049999999999</v>
      </c>
      <c r="BB5">
        <f ca="1">IF(AND(ISNUMBER($BB$40),$B$31=1),$BB$40,HLOOKUP(INDIRECT(ADDRESS(2,COLUMN())),OFFSET($BN$2,0,0,ROW()-1,60),ROW()-1,FALSE))</f>
        <v>2697.549</v>
      </c>
      <c r="BC5">
        <f ca="1">IF(AND(ISNUMBER($BC$40),$B$31=1),$BC$40,HLOOKUP(INDIRECT(ADDRESS(2,COLUMN())),OFFSET($BN$2,0,0,ROW()-1,60),ROW()-1,FALSE))</f>
        <v>2661.1959999999999</v>
      </c>
      <c r="BD5">
        <f ca="1">IF(AND(ISNUMBER($BD$40),$B$31=1),$BD$40,HLOOKUP(INDIRECT(ADDRESS(2,COLUMN())),OFFSET($BN$2,0,0,ROW()-1,60),ROW()-1,FALSE))</f>
        <v>2609.5479999999998</v>
      </c>
      <c r="BE5">
        <f ca="1">IF(AND(ISNUMBER($BE$40),$B$31=1),$BE$40,HLOOKUP(INDIRECT(ADDRESS(2,COLUMN())),OFFSET($BN$2,0,0,ROW()-1,60),ROW()-1,FALSE))</f>
        <v>2559.69</v>
      </c>
      <c r="BF5">
        <f ca="1">IF(AND(ISNUMBER($BF$40),$B$31=1),$BF$40,HLOOKUP(INDIRECT(ADDRESS(2,COLUMN())),OFFSET($BN$2,0,0,ROW()-1,60),ROW()-1,FALSE))</f>
        <v>2545.4580000000001</v>
      </c>
      <c r="BG5">
        <f ca="1">IF(AND(ISNUMBER($BG$40),$B$31=1),$BG$40,HLOOKUP(INDIRECT(ADDRESS(2,COLUMN())),OFFSET($BN$2,0,0,ROW()-1,60),ROW()-1,FALSE))</f>
        <v>2487.473</v>
      </c>
      <c r="BH5">
        <f ca="1">IF(AND(ISNUMBER($BH$40),$B$31=1),$BH$40,HLOOKUP(INDIRECT(ADDRESS(2,COLUMN())),OFFSET($BN$2,0,0,ROW()-1,60),ROW()-1,FALSE))</f>
        <v>2400.1379999999999</v>
      </c>
      <c r="BI5">
        <f ca="1">IF(AND(ISNUMBER($BI$40),$B$31=1),$BI$40,HLOOKUP(INDIRECT(ADDRESS(2,COLUMN())),OFFSET($BN$2,0,0,ROW()-1,60),ROW()-1,FALSE))</f>
        <v>2334.873</v>
      </c>
      <c r="BJ5">
        <f ca="1">IF(AND(ISNUMBER($BJ$40),$B$31=1),$BJ$40,HLOOKUP(INDIRECT(ADDRESS(2,COLUMN())),OFFSET($BN$2,0,0,ROW()-1,60),ROW()-1,FALSE))</f>
        <v>2236.3049999999998</v>
      </c>
      <c r="BK5">
        <f ca="1">IF(AND(ISNUMBER($BK$40),$B$31=1),$BK$40,HLOOKUP(INDIRECT(ADDRESS(2,COLUMN())),OFFSET($BN$2,0,0,ROW()-1,60),ROW()-1,FALSE))</f>
        <v>2173.8850000000002</v>
      </c>
      <c r="BL5">
        <f ca="1">IF(AND(ISNUMBER($BL$40),$B$31=1),$BL$40,HLOOKUP(INDIRECT(ADDRESS(2,COLUMN())),OFFSET($BN$2,0,0,ROW()-1,60),ROW()-1,FALSE))</f>
        <v>2171.1379999999999</v>
      </c>
      <c r="BM5">
        <f ca="1">IF(AND(ISNUMBER($BM$40),$B$31=1),$BM$40,HLOOKUP(INDIRECT(ADDRESS(2,COLUMN())),OFFSET($BN$2,0,0,ROW()-1,60),ROW()-1,FALSE))</f>
        <v>2123.598</v>
      </c>
      <c r="BN5">
        <f>5402.683</f>
        <v>5402.683</v>
      </c>
      <c r="BO5">
        <f>5388.729</f>
        <v>5388.7290000000003</v>
      </c>
      <c r="BP5">
        <f>5275.129</f>
        <v>5275.1289999999999</v>
      </c>
      <c r="BQ5">
        <f>5269.195</f>
        <v>5269.1949999999997</v>
      </c>
      <c r="BR5">
        <f>5201.053</f>
        <v>5201.0529999999999</v>
      </c>
      <c r="BS5">
        <f>5138.499</f>
        <v>5138.4989999999998</v>
      </c>
      <c r="BT5">
        <f>5046.126</f>
        <v>5046.1260000000002</v>
      </c>
      <c r="BU5">
        <f>4974.163</f>
        <v>4974.1629999999996</v>
      </c>
      <c r="BV5">
        <f>4925.655</f>
        <v>4925.6549999999997</v>
      </c>
      <c r="BW5">
        <f>4826.317</f>
        <v>4826.317</v>
      </c>
      <c r="BX5">
        <f>4749.042</f>
        <v>4749.0420000000004</v>
      </c>
      <c r="BY5">
        <f>4727.803</f>
        <v>4727.8029999999999</v>
      </c>
      <c r="BZ5">
        <f>4669.571</f>
        <v>4669.5709999999999</v>
      </c>
      <c r="CA5">
        <f>4539.883</f>
        <v>4539.8829999999998</v>
      </c>
      <c r="CB5">
        <f>4346.39</f>
        <v>4346.3900000000003</v>
      </c>
      <c r="CC5">
        <f>4231.018</f>
        <v>4231.018</v>
      </c>
      <c r="CD5">
        <f>4182.192</f>
        <v>4182.192</v>
      </c>
      <c r="CE5">
        <f>4086.717</f>
        <v>4086.7170000000001</v>
      </c>
      <c r="CF5">
        <f>3968.294</f>
        <v>3968.2939999999999</v>
      </c>
      <c r="CG5">
        <f>3802.372</f>
        <v>3802.3719999999998</v>
      </c>
      <c r="CH5">
        <f>3552.634</f>
        <v>3552.634</v>
      </c>
      <c r="CI5">
        <f>3841.036</f>
        <v>3841.0360000000001</v>
      </c>
      <c r="CJ5">
        <f>3857.115</f>
        <v>3857.1149999999998</v>
      </c>
      <c r="CK5">
        <f>3869.365</f>
        <v>3869.3649999999998</v>
      </c>
      <c r="CL5">
        <f>3820.789</f>
        <v>3820.7890000000002</v>
      </c>
      <c r="CM5">
        <f>3735.845</f>
        <v>3735.8449999999998</v>
      </c>
      <c r="CN5">
        <f>3706.704</f>
        <v>3706.7040000000002</v>
      </c>
      <c r="CO5">
        <f>3690.028</f>
        <v>3690.0279999999998</v>
      </c>
      <c r="CP5">
        <f>3666.129</f>
        <v>3666.1289999999999</v>
      </c>
      <c r="CQ5">
        <f>3610.589</f>
        <v>3610.5889999999999</v>
      </c>
      <c r="CR5">
        <f>3530.448</f>
        <v>3530.4479999999999</v>
      </c>
      <c r="CS5">
        <f>3445.283</f>
        <v>3445.2829999999999</v>
      </c>
      <c r="CT5">
        <f>3407.44</f>
        <v>3407.44</v>
      </c>
      <c r="CU5">
        <f>3356.791</f>
        <v>3356.7910000000002</v>
      </c>
      <c r="CV5">
        <f>3302.805</f>
        <v>3302.8049999999998</v>
      </c>
      <c r="CW5">
        <f>3256.247</f>
        <v>3256.2469999999998</v>
      </c>
      <c r="CX5">
        <f>3215.897</f>
        <v>3215.8969999999999</v>
      </c>
      <c r="CY5">
        <f>3181.999</f>
        <v>3181.9989999999998</v>
      </c>
      <c r="CZ5">
        <f>3169.729</f>
        <v>3169.7289999999998</v>
      </c>
      <c r="DA5">
        <f>3176.809</f>
        <v>3176.8090000000002</v>
      </c>
      <c r="DB5">
        <f>3139.856</f>
        <v>3139.8560000000002</v>
      </c>
      <c r="DC5">
        <f>3107.041</f>
        <v>3107.0410000000002</v>
      </c>
      <c r="DD5">
        <f>3086.53</f>
        <v>3086.53</v>
      </c>
      <c r="DE5">
        <f>3038.113</f>
        <v>3038.1129999999998</v>
      </c>
      <c r="DF5">
        <f>2961.343</f>
        <v>2961.3429999999998</v>
      </c>
      <c r="DG5">
        <f>2870.77</f>
        <v>2870.77</v>
      </c>
      <c r="DH5">
        <f>2816.948</f>
        <v>2816.9479999999999</v>
      </c>
      <c r="DI5">
        <f>2755.705</f>
        <v>2755.7049999999999</v>
      </c>
      <c r="DJ5">
        <f>2697.549</f>
        <v>2697.549</v>
      </c>
      <c r="DK5">
        <f>2661.196</f>
        <v>2661.1959999999999</v>
      </c>
      <c r="DL5">
        <f>2609.548</f>
        <v>2609.5479999999998</v>
      </c>
      <c r="DM5">
        <f>2559.69</f>
        <v>2559.69</v>
      </c>
      <c r="DN5">
        <f>2545.458</f>
        <v>2545.4580000000001</v>
      </c>
      <c r="DO5">
        <f>2487.473</f>
        <v>2487.473</v>
      </c>
      <c r="DP5">
        <f>2400.138</f>
        <v>2400.1379999999999</v>
      </c>
      <c r="DQ5">
        <f>2334.873</f>
        <v>2334.873</v>
      </c>
      <c r="DR5">
        <f>2236.305</f>
        <v>2236.3049999999998</v>
      </c>
      <c r="DS5">
        <f>2173.885</f>
        <v>2173.8850000000002</v>
      </c>
      <c r="DT5">
        <f>2171.138</f>
        <v>2171.1379999999999</v>
      </c>
      <c r="DU5">
        <f>2123.598</f>
        <v>2123.598</v>
      </c>
    </row>
    <row r="6" spans="1:125" x14ac:dyDescent="0.25">
      <c r="A6" t="str">
        <f>"        Change in Private Inventories"</f>
        <v xml:space="preserve">        Change in Private Inventories</v>
      </c>
      <c r="B6" t="str">
        <f>"GDP$PICG Index"</f>
        <v>GDP$PICG Index</v>
      </c>
      <c r="C6" t="str">
        <f t="shared" si="0"/>
        <v>PR005</v>
      </c>
      <c r="D6" t="str">
        <f t="shared" si="1"/>
        <v>PX_LAST</v>
      </c>
      <c r="E6" t="str">
        <f t="shared" si="2"/>
        <v>Dynamic</v>
      </c>
      <c r="F6">
        <f ca="1">IF(AND(ISNUMBER($F$41),$B$31=1),$F$41,HLOOKUP(INDIRECT(ADDRESS(2,COLUMN())),OFFSET($BN$2,0,0,ROW()-1,60),ROW()-1,FALSE))</f>
        <v>-29.716000000000001</v>
      </c>
      <c r="G6">
        <f ca="1">IF(AND(ISNUMBER($G$41),$B$31=1),$G$41,HLOOKUP(INDIRECT(ADDRESS(2,COLUMN())),OFFSET($BN$2,0,0,ROW()-1,60),ROW()-1,FALSE))</f>
        <v>206.965</v>
      </c>
      <c r="H6">
        <f ca="1">IF(AND(ISNUMBER($H$41),$B$31=1),$H$41,HLOOKUP(INDIRECT(ADDRESS(2,COLUMN())),OFFSET($BN$2,0,0,ROW()-1,60),ROW()-1,FALSE))</f>
        <v>13.634</v>
      </c>
      <c r="I6">
        <f ca="1">IF(AND(ISNUMBER($I$41),$B$31=1),$I$41,HLOOKUP(INDIRECT(ADDRESS(2,COLUMN())),OFFSET($BN$2,0,0,ROW()-1,60),ROW()-1,FALSE))</f>
        <v>75.97</v>
      </c>
      <c r="J6">
        <f ca="1">IF(AND(ISNUMBER($J$41),$B$31=1),$J$41,HLOOKUP(INDIRECT(ADDRESS(2,COLUMN())),OFFSET($BN$2,0,0,ROW()-1,60),ROW()-1,FALSE))</f>
        <v>96.792000000000002</v>
      </c>
      <c r="K6">
        <f ca="1">IF(AND(ISNUMBER($K$41),$B$31=1),$K$41,HLOOKUP(INDIRECT(ADDRESS(2,COLUMN())),OFFSET($BN$2,0,0,ROW()-1,60),ROW()-1,FALSE))</f>
        <v>21.404</v>
      </c>
      <c r="L6">
        <f ca="1">IF(AND(ISNUMBER($L$41),$B$31=1),$L$41,HLOOKUP(INDIRECT(ADDRESS(2,COLUMN())),OFFSET($BN$2,0,0,ROW()-1,60),ROW()-1,FALSE))</f>
        <v>56.688000000000002</v>
      </c>
      <c r="M6">
        <f ca="1">IF(AND(ISNUMBER($M$41),$B$31=1),$M$41,HLOOKUP(INDIRECT(ADDRESS(2,COLUMN())),OFFSET($BN$2,0,0,ROW()-1,60),ROW()-1,FALSE))</f>
        <v>89.188999999999993</v>
      </c>
      <c r="N6">
        <f ca="1">IF(AND(ISNUMBER($N$41),$B$31=1),$N$41,HLOOKUP(INDIRECT(ADDRESS(2,COLUMN())),OFFSET($BN$2,0,0,ROW()-1,60),ROW()-1,FALSE))</f>
        <v>0.01</v>
      </c>
      <c r="O6">
        <f ca="1">IF(AND(ISNUMBER($O$41),$B$31=1),$O$41,HLOOKUP(INDIRECT(ADDRESS(2,COLUMN())),OFFSET($BN$2,0,0,ROW()-1,60),ROW()-1,FALSE))</f>
        <v>20.893999999999998</v>
      </c>
      <c r="P6">
        <f ca="1">IF(AND(ISNUMBER($P$41),$B$31=1),$P$41,HLOOKUP(INDIRECT(ADDRESS(2,COLUMN())),OFFSET($BN$2,0,0,ROW()-1,60),ROW()-1,FALSE))</f>
        <v>162.858</v>
      </c>
      <c r="Q6">
        <f ca="1">IF(AND(ISNUMBER($Q$41),$B$31=1),$Q$41,HLOOKUP(INDIRECT(ADDRESS(2,COLUMN())),OFFSET($BN$2,0,0,ROW()-1,60),ROW()-1,FALSE))</f>
        <v>73.820999999999998</v>
      </c>
      <c r="R6">
        <f ca="1">IF(AND(ISNUMBER($R$41),$B$31=1),$R$41,HLOOKUP(INDIRECT(ADDRESS(2,COLUMN())),OFFSET($BN$2,0,0,ROW()-1,60),ROW()-1,FALSE))</f>
        <v>116.971</v>
      </c>
      <c r="S6">
        <f ca="1">IF(AND(ISNUMBER($S$41),$B$31=1),$S$41,HLOOKUP(INDIRECT(ADDRESS(2,COLUMN())),OFFSET($BN$2,0,0,ROW()-1,60),ROW()-1,FALSE))</f>
        <v>244.93700000000001</v>
      </c>
      <c r="T6">
        <f ca="1">IF(AND(ISNUMBER($T$41),$B$31=1),$T$41,HLOOKUP(INDIRECT(ADDRESS(2,COLUMN())),OFFSET($BN$2,0,0,ROW()-1,60),ROW()-1,FALSE))</f>
        <v>252.79400000000001</v>
      </c>
      <c r="U6">
        <f ca="1">IF(AND(ISNUMBER($U$41),$B$31=1),$U$41,HLOOKUP(INDIRECT(ADDRESS(2,COLUMN())),OFFSET($BN$2,0,0,ROW()-1,60),ROW()-1,FALSE))</f>
        <v>1.8069999999999999</v>
      </c>
      <c r="V6">
        <f ca="1">IF(AND(ISNUMBER($V$41),$B$31=1),$V$41,HLOOKUP(INDIRECT(ADDRESS(2,COLUMN())),OFFSET($BN$2,0,0,ROW()-1,60),ROW()-1,FALSE))</f>
        <v>-164.61099999999999</v>
      </c>
      <c r="W6">
        <f ca="1">IF(AND(ISNUMBER($W$41),$B$31=1),$W$41,HLOOKUP(INDIRECT(ADDRESS(2,COLUMN())),OFFSET($BN$2,0,0,ROW()-1,60),ROW()-1,FALSE))</f>
        <v>-41.219000000000001</v>
      </c>
      <c r="X6">
        <f ca="1">IF(AND(ISNUMBER($X$41),$B$31=1),$X$41,HLOOKUP(INDIRECT(ADDRESS(2,COLUMN())),OFFSET($BN$2,0,0,ROW()-1,60),ROW()-1,FALSE))</f>
        <v>78.055000000000007</v>
      </c>
      <c r="Y6">
        <f ca="1">IF(AND(ISNUMBER($Y$41),$B$31=1),$Y$41,HLOOKUP(INDIRECT(ADDRESS(2,COLUMN())),OFFSET($BN$2,0,0,ROW()-1,60),ROW()-1,FALSE))</f>
        <v>98.974999999999994</v>
      </c>
      <c r="Z6">
        <f ca="1">IF(AND(ISNUMBER($Z$41),$B$31=1),$Z$41,HLOOKUP(INDIRECT(ADDRESS(2,COLUMN())),OFFSET($BN$2,0,0,ROW()-1,60),ROW()-1,FALSE))</f>
        <v>-282.27600000000001</v>
      </c>
      <c r="AA6">
        <f ca="1">IF(AND(ISNUMBER($AA$41),$B$31=1),$AA$41,HLOOKUP(INDIRECT(ADDRESS(2,COLUMN())),OFFSET($BN$2,0,0,ROW()-1,60),ROW()-1,FALSE))</f>
        <v>-39.039000000000001</v>
      </c>
      <c r="AB6">
        <f ca="1">IF(AND(ISNUMBER($AB$41),$B$31=1),$AB$41,HLOOKUP(INDIRECT(ADDRESS(2,COLUMN())),OFFSET($BN$2,0,0,ROW()-1,60),ROW()-1,FALSE))</f>
        <v>23.454999999999998</v>
      </c>
      <c r="AC6">
        <f ca="1">IF(AND(ISNUMBER($AC$41),$B$31=1),$AC$41,HLOOKUP(INDIRECT(ADDRESS(2,COLUMN())),OFFSET($BN$2,0,0,ROW()-1,60),ROW()-1,FALSE))</f>
        <v>70.233999999999995</v>
      </c>
      <c r="AD6">
        <f ca="1">IF(AND(ISNUMBER($AD$41),$B$31=1),$AD$41,HLOOKUP(INDIRECT(ADDRESS(2,COLUMN())),OFFSET($BN$2,0,0,ROW()-1,60),ROW()-1,FALSE))</f>
        <v>83.206999999999994</v>
      </c>
      <c r="AE6">
        <f ca="1">IF(AND(ISNUMBER($AE$41),$B$31=1),$AE$41,HLOOKUP(INDIRECT(ADDRESS(2,COLUMN())),OFFSET($BN$2,0,0,ROW()-1,60),ROW()-1,FALSE))</f>
        <v>114.925</v>
      </c>
      <c r="AF6">
        <f ca="1">IF(AND(ISNUMBER($AF$41),$B$31=1),$AF$41,HLOOKUP(INDIRECT(ADDRESS(2,COLUMN())),OFFSET($BN$2,0,0,ROW()-1,60),ROW()-1,FALSE))</f>
        <v>95.323999999999998</v>
      </c>
      <c r="AG6">
        <f ca="1">IF(AND(ISNUMBER($AG$41),$B$31=1),$AG$41,HLOOKUP(INDIRECT(ADDRESS(2,COLUMN())),OFFSET($BN$2,0,0,ROW()-1,60),ROW()-1,FALSE))</f>
        <v>98.664000000000001</v>
      </c>
      <c r="AH6">
        <f ca="1">IF(AND(ISNUMBER($AH$41),$B$31=1),$AH$41,HLOOKUP(INDIRECT(ADDRESS(2,COLUMN())),OFFSET($BN$2,0,0,ROW()-1,60),ROW()-1,FALSE))</f>
        <v>-3.4020000000000001</v>
      </c>
      <c r="AI6">
        <f ca="1">IF(AND(ISNUMBER($AI$41),$B$31=1),$AI$41,HLOOKUP(INDIRECT(ADDRESS(2,COLUMN())),OFFSET($BN$2,0,0,ROW()-1,60),ROW()-1,FALSE))</f>
        <v>35.045000000000002</v>
      </c>
      <c r="AJ6">
        <f ca="1">IF(AND(ISNUMBER($AJ$41),$B$31=1),$AJ$41,HLOOKUP(INDIRECT(ADDRESS(2,COLUMN())),OFFSET($BN$2,0,0,ROW()-1,60),ROW()-1,FALSE))</f>
        <v>43.997999999999998</v>
      </c>
      <c r="AK6">
        <f ca="1">IF(AND(ISNUMBER($AK$41),$B$31=1),$AK$41,HLOOKUP(INDIRECT(ADDRESS(2,COLUMN())),OFFSET($BN$2,0,0,ROW()-1,60),ROW()-1,FALSE))</f>
        <v>54.859000000000002</v>
      </c>
      <c r="AL6">
        <f ca="1">IF(AND(ISNUMBER($AL$41),$B$31=1),$AL$41,HLOOKUP(INDIRECT(ADDRESS(2,COLUMN())),OFFSET($BN$2,0,0,ROW()-1,60),ROW()-1,FALSE))</f>
        <v>25.527999999999999</v>
      </c>
      <c r="AM6">
        <f ca="1">IF(AND(ISNUMBER($AM$41),$B$31=1),$AM$41,HLOOKUP(INDIRECT(ADDRESS(2,COLUMN())),OFFSET($BN$2,0,0,ROW()-1,60),ROW()-1,FALSE))</f>
        <v>6.3109999999999999</v>
      </c>
      <c r="AN6">
        <f ca="1">IF(AND(ISNUMBER($AN$41),$B$31=1),$AN$41,HLOOKUP(INDIRECT(ADDRESS(2,COLUMN())),OFFSET($BN$2,0,0,ROW()-1,60),ROW()-1,FALSE))</f>
        <v>58.146999999999998</v>
      </c>
      <c r="AO6">
        <f ca="1">IF(AND(ISNUMBER($AO$41),$B$31=1),$AO$41,HLOOKUP(INDIRECT(ADDRESS(2,COLUMN())),OFFSET($BN$2,0,0,ROW()-1,60),ROW()-1,FALSE))</f>
        <v>5.3239999999999998</v>
      </c>
      <c r="AP6">
        <f ca="1">IF(AND(ISNUMBER($AP$41),$B$31=1),$AP$41,HLOOKUP(INDIRECT(ADDRESS(2,COLUMN())),OFFSET($BN$2,0,0,ROW()-1,60),ROW()-1,FALSE))</f>
        <v>30.484000000000002</v>
      </c>
      <c r="AQ6">
        <f ca="1">IF(AND(ISNUMBER($AQ$41),$B$31=1),$AQ$41,HLOOKUP(INDIRECT(ADDRESS(2,COLUMN())),OFFSET($BN$2,0,0,ROW()-1,60),ROW()-1,FALSE))</f>
        <v>62.317999999999998</v>
      </c>
      <c r="AR6">
        <f ca="1">IF(AND(ISNUMBER($AR$41),$B$31=1),$AR$41,HLOOKUP(INDIRECT(ADDRESS(2,COLUMN())),OFFSET($BN$2,0,0,ROW()-1,60),ROW()-1,FALSE))</f>
        <v>107.15</v>
      </c>
      <c r="AS6">
        <f ca="1">IF(AND(ISNUMBER($AS$41),$B$31=1),$AS$41,HLOOKUP(INDIRECT(ADDRESS(2,COLUMN())),OFFSET($BN$2,0,0,ROW()-1,60),ROW()-1,FALSE))</f>
        <v>126.851</v>
      </c>
      <c r="AT6">
        <f ca="1">IF(AND(ISNUMBER($AT$41),$B$31=1),$AT$41,HLOOKUP(INDIRECT(ADDRESS(2,COLUMN())),OFFSET($BN$2,0,0,ROW()-1,60),ROW()-1,FALSE))</f>
        <v>151.24799999999999</v>
      </c>
      <c r="AU6">
        <f ca="1">IF(AND(ISNUMBER($AU$41),$B$31=1),$AU$41,HLOOKUP(INDIRECT(ADDRESS(2,COLUMN())),OFFSET($BN$2,0,0,ROW()-1,60),ROW()-1,FALSE))</f>
        <v>175.24199999999999</v>
      </c>
      <c r="AV6">
        <f ca="1">IF(AND(ISNUMBER($AV$41),$B$31=1),$AV$41,HLOOKUP(INDIRECT(ADDRESS(2,COLUMN())),OFFSET($BN$2,0,0,ROW()-1,60),ROW()-1,FALSE))</f>
        <v>85.484999999999999</v>
      </c>
      <c r="AW6">
        <f ca="1">IF(AND(ISNUMBER($AW$41),$B$31=1),$AW$41,HLOOKUP(INDIRECT(ADDRESS(2,COLUMN())),OFFSET($BN$2,0,0,ROW()-1,60),ROW()-1,FALSE))</f>
        <v>103.934</v>
      </c>
      <c r="AX6">
        <f ca="1">IF(AND(ISNUMBER($AX$41),$B$31=1),$AX$41,HLOOKUP(INDIRECT(ADDRESS(2,COLUMN())),OFFSET($BN$2,0,0,ROW()-1,60),ROW()-1,FALSE))</f>
        <v>97.753</v>
      </c>
      <c r="AY6">
        <f ca="1">IF(AND(ISNUMBER($AY$41),$B$31=1),$AY$41,HLOOKUP(INDIRECT(ADDRESS(2,COLUMN())),OFFSET($BN$2,0,0,ROW()-1,60),ROW()-1,FALSE))</f>
        <v>51.994999999999997</v>
      </c>
      <c r="AZ6">
        <f ca="1">IF(AND(ISNUMBER($AZ$41),$B$31=1),$AZ$41,HLOOKUP(INDIRECT(ADDRESS(2,COLUMN())),OFFSET($BN$2,0,0,ROW()-1,60),ROW()-1,FALSE))</f>
        <v>117.343</v>
      </c>
      <c r="BA6">
        <f ca="1">IF(AND(ISNUMBER($BA$41),$B$31=1),$BA$41,HLOOKUP(INDIRECT(ADDRESS(2,COLUMN())),OFFSET($BN$2,0,0,ROW()-1,60),ROW()-1,FALSE))</f>
        <v>136.649</v>
      </c>
      <c r="BB6">
        <f ca="1">IF(AND(ISNUMBER($BB$41),$B$31=1),$BB$41,HLOOKUP(INDIRECT(ADDRESS(2,COLUMN())),OFFSET($BN$2,0,0,ROW()-1,60),ROW()-1,FALSE))</f>
        <v>82.692999999999998</v>
      </c>
      <c r="BC6">
        <f ca="1">IF(AND(ISNUMBER($BC$41),$B$31=1),$BC$41,HLOOKUP(INDIRECT(ADDRESS(2,COLUMN())),OFFSET($BN$2,0,0,ROW()-1,60),ROW()-1,FALSE))</f>
        <v>85.222999999999999</v>
      </c>
      <c r="BD6">
        <f ca="1">IF(AND(ISNUMBER($BD$41),$B$31=1),$BD$41,HLOOKUP(INDIRECT(ADDRESS(2,COLUMN())),OFFSET($BN$2,0,0,ROW()-1,60),ROW()-1,FALSE))</f>
        <v>28.734000000000002</v>
      </c>
      <c r="BE6">
        <f ca="1">IF(AND(ISNUMBER($BE$41),$B$31=1),$BE$41,HLOOKUP(INDIRECT(ADDRESS(2,COLUMN())),OFFSET($BN$2,0,0,ROW()-1,60),ROW()-1,FALSE))</f>
        <v>84.429000000000002</v>
      </c>
      <c r="BF6">
        <f ca="1">IF(AND(ISNUMBER($BF$41),$B$31=1),$BF$41,HLOOKUP(INDIRECT(ADDRESS(2,COLUMN())),OFFSET($BN$2,0,0,ROW()-1,60),ROW()-1,FALSE))</f>
        <v>91.406000000000006</v>
      </c>
      <c r="BG6">
        <f ca="1">IF(AND(ISNUMBER($BG$41),$B$31=1),$BG$41,HLOOKUP(INDIRECT(ADDRESS(2,COLUMN())),OFFSET($BN$2,0,0,ROW()-1,60),ROW()-1,FALSE))</f>
        <v>80.278000000000006</v>
      </c>
      <c r="BH6">
        <f ca="1">IF(AND(ISNUMBER($BH$41),$B$31=1),$BH$41,HLOOKUP(INDIRECT(ADDRESS(2,COLUMN())),OFFSET($BN$2,0,0,ROW()-1,60),ROW()-1,FALSE))</f>
        <v>103.956</v>
      </c>
      <c r="BI6">
        <f ca="1">IF(AND(ISNUMBER($BI$41),$B$31=1),$BI$41,HLOOKUP(INDIRECT(ADDRESS(2,COLUMN())),OFFSET($BN$2,0,0,ROW()-1,60),ROW()-1,FALSE))</f>
        <v>-12.032999999999999</v>
      </c>
      <c r="BJ6">
        <f ca="1">IF(AND(ISNUMBER($BJ$41),$B$31=1),$BJ$41,HLOOKUP(INDIRECT(ADDRESS(2,COLUMN())),OFFSET($BN$2,0,0,ROW()-1,60),ROW()-1,FALSE))</f>
        <v>61.046999999999997</v>
      </c>
      <c r="BK6">
        <f ca="1">IF(AND(ISNUMBER($BK$41),$B$31=1),$BK$41,HLOOKUP(INDIRECT(ADDRESS(2,COLUMN())),OFFSET($BN$2,0,0,ROW()-1,60),ROW()-1,FALSE))</f>
        <v>32.078000000000003</v>
      </c>
      <c r="BL6">
        <f ca="1">IF(AND(ISNUMBER($BL$41),$B$31=1),$BL$41,HLOOKUP(INDIRECT(ADDRESS(2,COLUMN())),OFFSET($BN$2,0,0,ROW()-1,60),ROW()-1,FALSE))</f>
        <v>67.301000000000002</v>
      </c>
      <c r="BM6">
        <f ca="1">IF(AND(ISNUMBER($BM$41),$B$31=1),$BM$41,HLOOKUP(INDIRECT(ADDRESS(2,COLUMN())),OFFSET($BN$2,0,0,ROW()-1,60),ROW()-1,FALSE))</f>
        <v>112.89700000000001</v>
      </c>
      <c r="BN6">
        <f>-29.716</f>
        <v>-29.716000000000001</v>
      </c>
      <c r="BO6">
        <f>206.965</f>
        <v>206.965</v>
      </c>
      <c r="BP6">
        <f>13.634</f>
        <v>13.634</v>
      </c>
      <c r="BQ6">
        <f>75.97</f>
        <v>75.97</v>
      </c>
      <c r="BR6">
        <f>96.792</f>
        <v>96.792000000000002</v>
      </c>
      <c r="BS6">
        <f>21.404</f>
        <v>21.404</v>
      </c>
      <c r="BT6">
        <f>56.688</f>
        <v>56.688000000000002</v>
      </c>
      <c r="BU6">
        <f>89.189</f>
        <v>89.188999999999993</v>
      </c>
      <c r="BV6">
        <f>0.01</f>
        <v>0.01</v>
      </c>
      <c r="BW6">
        <f>20.894</f>
        <v>20.893999999999998</v>
      </c>
      <c r="BX6">
        <f>162.858</f>
        <v>162.858</v>
      </c>
      <c r="BY6">
        <f>73.821</f>
        <v>73.820999999999998</v>
      </c>
      <c r="BZ6">
        <f>116.971</f>
        <v>116.971</v>
      </c>
      <c r="CA6">
        <f>244.937</f>
        <v>244.93700000000001</v>
      </c>
      <c r="CB6">
        <f>252.794</f>
        <v>252.79400000000001</v>
      </c>
      <c r="CC6">
        <f>1.807</f>
        <v>1.8069999999999999</v>
      </c>
      <c r="CD6">
        <f>-164.611</f>
        <v>-164.61099999999999</v>
      </c>
      <c r="CE6">
        <f>-41.219</f>
        <v>-41.219000000000001</v>
      </c>
      <c r="CF6">
        <f>78.055</f>
        <v>78.055000000000007</v>
      </c>
      <c r="CG6">
        <f>98.975</f>
        <v>98.974999999999994</v>
      </c>
      <c r="CH6">
        <f>-282.276</f>
        <v>-282.27600000000001</v>
      </c>
      <c r="CI6">
        <f>-39.039</f>
        <v>-39.039000000000001</v>
      </c>
      <c r="CJ6">
        <f>23.455</f>
        <v>23.454999999999998</v>
      </c>
      <c r="CK6">
        <f>70.234</f>
        <v>70.233999999999995</v>
      </c>
      <c r="CL6">
        <f>83.207</f>
        <v>83.206999999999994</v>
      </c>
      <c r="CM6">
        <f>114.925</f>
        <v>114.925</v>
      </c>
      <c r="CN6">
        <f>95.324</f>
        <v>95.323999999999998</v>
      </c>
      <c r="CO6">
        <f>98.664</f>
        <v>98.664000000000001</v>
      </c>
      <c r="CP6">
        <f>-3.402</f>
        <v>-3.4020000000000001</v>
      </c>
      <c r="CQ6">
        <f>35.045</f>
        <v>35.045000000000002</v>
      </c>
      <c r="CR6">
        <f>43.998</f>
        <v>43.997999999999998</v>
      </c>
      <c r="CS6">
        <f>54.859</f>
        <v>54.859000000000002</v>
      </c>
      <c r="CT6">
        <f>25.528</f>
        <v>25.527999999999999</v>
      </c>
      <c r="CU6">
        <f>6.311</f>
        <v>6.3109999999999999</v>
      </c>
      <c r="CV6">
        <f>58.147</f>
        <v>58.146999999999998</v>
      </c>
      <c r="CW6">
        <f>5.324</f>
        <v>5.3239999999999998</v>
      </c>
      <c r="CX6">
        <f>30.484</f>
        <v>30.484000000000002</v>
      </c>
      <c r="CY6">
        <f>62.318</f>
        <v>62.317999999999998</v>
      </c>
      <c r="CZ6">
        <f>107.15</f>
        <v>107.15</v>
      </c>
      <c r="DA6">
        <f>126.851</f>
        <v>126.851</v>
      </c>
      <c r="DB6">
        <f>151.248</f>
        <v>151.24799999999999</v>
      </c>
      <c r="DC6">
        <f>175.242</f>
        <v>175.24199999999999</v>
      </c>
      <c r="DD6">
        <f>85.485</f>
        <v>85.484999999999999</v>
      </c>
      <c r="DE6">
        <f>103.934</f>
        <v>103.934</v>
      </c>
      <c r="DF6">
        <f>97.753</f>
        <v>97.753</v>
      </c>
      <c r="DG6">
        <f>51.995</f>
        <v>51.994999999999997</v>
      </c>
      <c r="DH6">
        <f>117.343</f>
        <v>117.343</v>
      </c>
      <c r="DI6">
        <f>136.649</f>
        <v>136.649</v>
      </c>
      <c r="DJ6">
        <f>82.693</f>
        <v>82.692999999999998</v>
      </c>
      <c r="DK6">
        <f>85.223</f>
        <v>85.222999999999999</v>
      </c>
      <c r="DL6">
        <f>28.734</f>
        <v>28.734000000000002</v>
      </c>
      <c r="DM6">
        <f>84.429</f>
        <v>84.429000000000002</v>
      </c>
      <c r="DN6">
        <f>91.406</f>
        <v>91.406000000000006</v>
      </c>
      <c r="DO6">
        <f>80.278</f>
        <v>80.278000000000006</v>
      </c>
      <c r="DP6">
        <f>103.956</f>
        <v>103.956</v>
      </c>
      <c r="DQ6">
        <f>-12.033</f>
        <v>-12.032999999999999</v>
      </c>
      <c r="DR6">
        <f>61.047</f>
        <v>61.046999999999997</v>
      </c>
      <c r="DS6">
        <f>32.078</f>
        <v>32.078000000000003</v>
      </c>
      <c r="DT6">
        <f>67.301</f>
        <v>67.301000000000002</v>
      </c>
      <c r="DU6">
        <f>112.897</f>
        <v>112.89700000000001</v>
      </c>
    </row>
    <row r="7" spans="1:125" x14ac:dyDescent="0.25">
      <c r="A7" t="str">
        <f>"        Government: Consumption Expenditure"</f>
        <v xml:space="preserve">        Government: Consumption Expenditure</v>
      </c>
      <c r="B7" t="str">
        <f>"GCEXCONE Index"</f>
        <v>GCEXCONE Index</v>
      </c>
      <c r="C7" t="str">
        <f t="shared" si="0"/>
        <v>PR005</v>
      </c>
      <c r="D7" t="str">
        <f t="shared" si="1"/>
        <v>PX_LAST</v>
      </c>
      <c r="E7" t="str">
        <f t="shared" si="2"/>
        <v>Dynamic</v>
      </c>
      <c r="F7">
        <f ca="1">IF(AND(ISNUMBER($F$42),$B$31=1),$F$42,HLOOKUP(INDIRECT(ADDRESS(2,COLUMN())),OFFSET($BN$2,0,0,ROW()-1,60),ROW()-1,FALSE))</f>
        <v>4054.6149999999998</v>
      </c>
      <c r="G7">
        <f ca="1">IF(AND(ISNUMBER($G$42),$B$31=1),$G$42,HLOOKUP(INDIRECT(ADDRESS(2,COLUMN())),OFFSET($BN$2,0,0,ROW()-1,60),ROW()-1,FALSE))</f>
        <v>4030.962</v>
      </c>
      <c r="H7">
        <f ca="1">IF(AND(ISNUMBER($H$42),$B$31=1),$H$42,HLOOKUP(INDIRECT(ADDRESS(2,COLUMN())),OFFSET($BN$2,0,0,ROW()-1,60),ROW()-1,FALSE))</f>
        <v>3996.8780000000002</v>
      </c>
      <c r="I7">
        <f ca="1">IF(AND(ISNUMBER($I$42),$B$31=1),$I$42,HLOOKUP(INDIRECT(ADDRESS(2,COLUMN())),OFFSET($BN$2,0,0,ROW()-1,60),ROW()-1,FALSE))</f>
        <v>3947.6559999999999</v>
      </c>
      <c r="J7">
        <f ca="1">IF(AND(ISNUMBER($J$42),$B$31=1),$J$42,HLOOKUP(INDIRECT(ADDRESS(2,COLUMN())),OFFSET($BN$2,0,0,ROW()-1,60),ROW()-1,FALSE))</f>
        <v>3882.1390000000001</v>
      </c>
      <c r="K7">
        <f ca="1">IF(AND(ISNUMBER($K$42),$B$31=1),$K$42,HLOOKUP(INDIRECT(ADDRESS(2,COLUMN())),OFFSET($BN$2,0,0,ROW()-1,60),ROW()-1,FALSE))</f>
        <v>3840.0880000000002</v>
      </c>
      <c r="L7">
        <f ca="1">IF(AND(ISNUMBER($L$42),$B$31=1),$L$42,HLOOKUP(INDIRECT(ADDRESS(2,COLUMN())),OFFSET($BN$2,0,0,ROW()-1,60),ROW()-1,FALSE))</f>
        <v>3781.7249999999999</v>
      </c>
      <c r="M7">
        <f ca="1">IF(AND(ISNUMBER($M$42),$B$31=1),$M$42,HLOOKUP(INDIRECT(ADDRESS(2,COLUMN())),OFFSET($BN$2,0,0,ROW()-1,60),ROW()-1,FALSE))</f>
        <v>3758.931</v>
      </c>
      <c r="N7">
        <f ca="1">IF(AND(ISNUMBER($N$42),$B$31=1),$N$42,HLOOKUP(INDIRECT(ADDRESS(2,COLUMN())),OFFSET($BN$2,0,0,ROW()-1,60),ROW()-1,FALSE))</f>
        <v>3674.3180000000002</v>
      </c>
      <c r="O7">
        <f ca="1">IF(AND(ISNUMBER($O$42),$B$31=1),$O$42,HLOOKUP(INDIRECT(ADDRESS(2,COLUMN())),OFFSET($BN$2,0,0,ROW()-1,60),ROW()-1,FALSE))</f>
        <v>3680.8440000000001</v>
      </c>
      <c r="P7">
        <f ca="1">IF(AND(ISNUMBER($P$42),$B$31=1),$P$42,HLOOKUP(INDIRECT(ADDRESS(2,COLUMN())),OFFSET($BN$2,0,0,ROW()-1,60),ROW()-1,FALSE))</f>
        <v>3641.91</v>
      </c>
      <c r="Q7">
        <f ca="1">IF(AND(ISNUMBER($Q$42),$B$31=1),$Q$42,HLOOKUP(INDIRECT(ADDRESS(2,COLUMN())),OFFSET($BN$2,0,0,ROW()-1,60),ROW()-1,FALSE))</f>
        <v>3590.2719999999999</v>
      </c>
      <c r="R7">
        <f ca="1">IF(AND(ISNUMBER($R$42),$B$31=1),$R$42,HLOOKUP(INDIRECT(ADDRESS(2,COLUMN())),OFFSET($BN$2,0,0,ROW()-1,60),ROW()-1,FALSE))</f>
        <v>3560.0320000000002</v>
      </c>
      <c r="S7">
        <f ca="1">IF(AND(ISNUMBER($S$42),$B$31=1),$S$42,HLOOKUP(INDIRECT(ADDRESS(2,COLUMN())),OFFSET($BN$2,0,0,ROW()-1,60),ROW()-1,FALSE))</f>
        <v>3473.9160000000002</v>
      </c>
      <c r="T7">
        <f ca="1">IF(AND(ISNUMBER($T$42),$B$31=1),$T$42,HLOOKUP(INDIRECT(ADDRESS(2,COLUMN())),OFFSET($BN$2,0,0,ROW()-1,60),ROW()-1,FALSE))</f>
        <v>3440.748</v>
      </c>
      <c r="U7">
        <f ca="1">IF(AND(ISNUMBER($U$42),$B$31=1),$U$42,HLOOKUP(INDIRECT(ADDRESS(2,COLUMN())),OFFSET($BN$2,0,0,ROW()-1,60),ROW()-1,FALSE))</f>
        <v>3386.91</v>
      </c>
      <c r="V7">
        <f ca="1">IF(AND(ISNUMBER($V$42),$B$31=1),$V$42,HLOOKUP(INDIRECT(ADDRESS(2,COLUMN())),OFFSET($BN$2,0,0,ROW()-1,60),ROW()-1,FALSE))</f>
        <v>3348.2719999999999</v>
      </c>
      <c r="W7">
        <f ca="1">IF(AND(ISNUMBER($W$42),$B$31=1),$W$42,HLOOKUP(INDIRECT(ADDRESS(2,COLUMN())),OFFSET($BN$2,0,0,ROW()-1,60),ROW()-1,FALSE))</f>
        <v>3325.2069999999999</v>
      </c>
      <c r="X7">
        <f ca="1">IF(AND(ISNUMBER($X$42),$B$31=1),$X$42,HLOOKUP(INDIRECT(ADDRESS(2,COLUMN())),OFFSET($BN$2,0,0,ROW()-1,60),ROW()-1,FALSE))</f>
        <v>3195.54</v>
      </c>
      <c r="Y7">
        <f ca="1">IF(AND(ISNUMBER($Y$42),$B$31=1),$Y$42,HLOOKUP(INDIRECT(ADDRESS(2,COLUMN())),OFFSET($BN$2,0,0,ROW()-1,60),ROW()-1,FALSE))</f>
        <v>3182.4349999999999</v>
      </c>
      <c r="Z7">
        <f ca="1">IF(AND(ISNUMBER($Z$42),$B$31=1),$Z$42,HLOOKUP(INDIRECT(ADDRESS(2,COLUMN())),OFFSET($BN$2,0,0,ROW()-1,60),ROW()-1,FALSE))</f>
        <v>3209.4229999999998</v>
      </c>
      <c r="AA7">
        <f ca="1">IF(AND(ISNUMBER($AA$42),$B$31=1),$AA$42,HLOOKUP(INDIRECT(ADDRESS(2,COLUMN())),OFFSET($BN$2,0,0,ROW()-1,60),ROW()-1,FALSE))</f>
        <v>3136.0140000000001</v>
      </c>
      <c r="AB7">
        <f ca="1">IF(AND(ISNUMBER($AB$42),$B$31=1),$AB$42,HLOOKUP(INDIRECT(ADDRESS(2,COLUMN())),OFFSET($BN$2,0,0,ROW()-1,60),ROW()-1,FALSE))</f>
        <v>3080.9360000000001</v>
      </c>
      <c r="AC7">
        <f ca="1">IF(AND(ISNUMBER($AC$42),$B$31=1),$AC$42,HLOOKUP(INDIRECT(ADDRESS(2,COLUMN())),OFFSET($BN$2,0,0,ROW()-1,60),ROW()-1,FALSE))</f>
        <v>3034.1390000000001</v>
      </c>
      <c r="AD7">
        <f ca="1">IF(AND(ISNUMBER($AD$42),$B$31=1),$AD$42,HLOOKUP(INDIRECT(ADDRESS(2,COLUMN())),OFFSET($BN$2,0,0,ROW()-1,60),ROW()-1,FALSE))</f>
        <v>2994.223</v>
      </c>
      <c r="AE7">
        <f ca="1">IF(AND(ISNUMBER($AE$42),$B$31=1),$AE$42,HLOOKUP(INDIRECT(ADDRESS(2,COLUMN())),OFFSET($BN$2,0,0,ROW()-1,60),ROW()-1,FALSE))</f>
        <v>2938.9250000000002</v>
      </c>
      <c r="AF7">
        <f ca="1">IF(AND(ISNUMBER($AF$42),$B$31=1),$AF$42,HLOOKUP(INDIRECT(ADDRESS(2,COLUMN())),OFFSET($BN$2,0,0,ROW()-1,60),ROW()-1,FALSE))</f>
        <v>2912.96</v>
      </c>
      <c r="AG7">
        <f ca="1">IF(AND(ISNUMBER($AG$42),$B$31=1),$AG$42,HLOOKUP(INDIRECT(ADDRESS(2,COLUMN())),OFFSET($BN$2,0,0,ROW()-1,60),ROW()-1,FALSE))</f>
        <v>2885.5210000000002</v>
      </c>
      <c r="AH7">
        <f ca="1">IF(AND(ISNUMBER($AH$42),$B$31=1),$AH$42,HLOOKUP(INDIRECT(ADDRESS(2,COLUMN())),OFFSET($BN$2,0,0,ROW()-1,60),ROW()-1,FALSE))</f>
        <v>2839.1469999999999</v>
      </c>
      <c r="AI7">
        <f ca="1">IF(AND(ISNUMBER($AI$42),$B$31=1),$AI$42,HLOOKUP(INDIRECT(ADDRESS(2,COLUMN())),OFFSET($BN$2,0,0,ROW()-1,60),ROW()-1,FALSE))</f>
        <v>2801.299</v>
      </c>
      <c r="AJ7">
        <f ca="1">IF(AND(ISNUMBER($AJ$42),$B$31=1),$AJ$42,HLOOKUP(INDIRECT(ADDRESS(2,COLUMN())),OFFSET($BN$2,0,0,ROW()-1,60),ROW()-1,FALSE))</f>
        <v>2761.375</v>
      </c>
      <c r="AK7">
        <f ca="1">IF(AND(ISNUMBER($AK$42),$B$31=1),$AK$42,HLOOKUP(INDIRECT(ADDRESS(2,COLUMN())),OFFSET($BN$2,0,0,ROW()-1,60),ROW()-1,FALSE))</f>
        <v>2715.8510000000001</v>
      </c>
      <c r="AL7">
        <f ca="1">IF(AND(ISNUMBER($AL$42),$B$31=1),$AL$42,HLOOKUP(INDIRECT(ADDRESS(2,COLUMN())),OFFSET($BN$2,0,0,ROW()-1,60),ROW()-1,FALSE))</f>
        <v>2695.7240000000002</v>
      </c>
      <c r="AM7">
        <f ca="1">IF(AND(ISNUMBER($AM$42),$B$31=1),$AM$42,HLOOKUP(INDIRECT(ADDRESS(2,COLUMN())),OFFSET($BN$2,0,0,ROW()-1,60),ROW()-1,FALSE))</f>
        <v>2689.9050000000002</v>
      </c>
      <c r="AN7">
        <f ca="1">IF(AND(ISNUMBER($AN$42),$B$31=1),$AN$42,HLOOKUP(INDIRECT(ADDRESS(2,COLUMN())),OFFSET($BN$2,0,0,ROW()-1,60),ROW()-1,FALSE))</f>
        <v>2680.9960000000001</v>
      </c>
      <c r="AO7">
        <f ca="1">IF(AND(ISNUMBER($AO$42),$B$31=1),$AO$42,HLOOKUP(INDIRECT(ADDRESS(2,COLUMN())),OFFSET($BN$2,0,0,ROW()-1,60),ROW()-1,FALSE))</f>
        <v>2668.2809999999999</v>
      </c>
      <c r="AP7">
        <f ca="1">IF(AND(ISNUMBER($AP$42),$B$31=1),$AP$42,HLOOKUP(INDIRECT(ADDRESS(2,COLUMN())),OFFSET($BN$2,0,0,ROW()-1,60),ROW()-1,FALSE))</f>
        <v>2642.9229999999998</v>
      </c>
      <c r="AQ7">
        <f ca="1">IF(AND(ISNUMBER($AQ$42),$B$31=1),$AQ$42,HLOOKUP(INDIRECT(ADDRESS(2,COLUMN())),OFFSET($BN$2,0,0,ROW()-1,60),ROW()-1,FALSE))</f>
        <v>2621.2959999999998</v>
      </c>
      <c r="AR7">
        <f ca="1">IF(AND(ISNUMBER($AR$42),$B$31=1),$AR$42,HLOOKUP(INDIRECT(ADDRESS(2,COLUMN())),OFFSET($BN$2,0,0,ROW()-1,60),ROW()-1,FALSE))</f>
        <v>2624.3560000000002</v>
      </c>
      <c r="AS7">
        <f ca="1">IF(AND(ISNUMBER($AS$42),$B$31=1),$AS$42,HLOOKUP(INDIRECT(ADDRESS(2,COLUMN())),OFFSET($BN$2,0,0,ROW()-1,60),ROW()-1,FALSE))</f>
        <v>2615.8960000000002</v>
      </c>
      <c r="AT7">
        <f ca="1">IF(AND(ISNUMBER($AT$42),$B$31=1),$AT$42,HLOOKUP(INDIRECT(ADDRESS(2,COLUMN())),OFFSET($BN$2,0,0,ROW()-1,60),ROW()-1,FALSE))</f>
        <v>2601.375</v>
      </c>
      <c r="AU7">
        <f ca="1">IF(AND(ISNUMBER($AU$42),$B$31=1),$AU$42,HLOOKUP(INDIRECT(ADDRESS(2,COLUMN())),OFFSET($BN$2,0,0,ROW()-1,60),ROW()-1,FALSE))</f>
        <v>2574.3270000000002</v>
      </c>
      <c r="AV7">
        <f ca="1">IF(AND(ISNUMBER($AV$42),$B$31=1),$AV$42,HLOOKUP(INDIRECT(ADDRESS(2,COLUMN())),OFFSET($BN$2,0,0,ROW()-1,60),ROW()-1,FALSE))</f>
        <v>2571.8890000000001</v>
      </c>
      <c r="AW7">
        <f ca="1">IF(AND(ISNUMBER($AW$42),$B$31=1),$AW$42,HLOOKUP(INDIRECT(ADDRESS(2,COLUMN())),OFFSET($BN$2,0,0,ROW()-1,60),ROW()-1,FALSE))</f>
        <v>2581.3989999999999</v>
      </c>
      <c r="AX7">
        <f ca="1">IF(AND(ISNUMBER($AX$42),$B$31=1),$AX$42,HLOOKUP(INDIRECT(ADDRESS(2,COLUMN())),OFFSET($BN$2,0,0,ROW()-1,60),ROW()-1,FALSE))</f>
        <v>2548.4259999999999</v>
      </c>
      <c r="AY7">
        <f ca="1">IF(AND(ISNUMBER($AY$42),$B$31=1),$AY$42,HLOOKUP(INDIRECT(ADDRESS(2,COLUMN())),OFFSET($BN$2,0,0,ROW()-1,60),ROW()-1,FALSE))</f>
        <v>2547.3919999999998</v>
      </c>
      <c r="AZ7">
        <f ca="1">IF(AND(ISNUMBER($AZ$42),$B$31=1),$AZ$42,HLOOKUP(INDIRECT(ADDRESS(2,COLUMN())),OFFSET($BN$2,0,0,ROW()-1,60),ROW()-1,FALSE))</f>
        <v>2536.4630000000002</v>
      </c>
      <c r="BA7">
        <f ca="1">IF(AND(ISNUMBER($BA$42),$B$31=1),$BA$42,HLOOKUP(INDIRECT(ADDRESS(2,COLUMN())),OFFSET($BN$2,0,0,ROW()-1,60),ROW()-1,FALSE))</f>
        <v>2530.7339999999999</v>
      </c>
      <c r="BB7">
        <f ca="1">IF(AND(ISNUMBER($BB$42),$B$31=1),$BB$42,HLOOKUP(INDIRECT(ADDRESS(2,COLUMN())),OFFSET($BN$2,0,0,ROW()-1,60),ROW()-1,FALSE))</f>
        <v>2531.6129999999998</v>
      </c>
      <c r="BC7">
        <f ca="1">IF(AND(ISNUMBER($BC$42),$B$31=1),$BC$42,HLOOKUP(INDIRECT(ADDRESS(2,COLUMN())),OFFSET($BN$2,0,0,ROW()-1,60),ROW()-1,FALSE))</f>
        <v>2524.1689999999999</v>
      </c>
      <c r="BD7">
        <f ca="1">IF(AND(ISNUMBER($BD$42),$B$31=1),$BD$42,HLOOKUP(INDIRECT(ADDRESS(2,COLUMN())),OFFSET($BN$2,0,0,ROW()-1,60),ROW()-1,FALSE))</f>
        <v>2521.5500000000002</v>
      </c>
      <c r="BE7">
        <f ca="1">IF(AND(ISNUMBER($BE$42),$B$31=1),$BE$42,HLOOKUP(INDIRECT(ADDRESS(2,COLUMN())),OFFSET($BN$2,0,0,ROW()-1,60),ROW()-1,FALSE))</f>
        <v>2519.6840000000002</v>
      </c>
      <c r="BF7">
        <f ca="1">IF(AND(ISNUMBER($BF$42),$B$31=1),$BF$42,HLOOKUP(INDIRECT(ADDRESS(2,COLUMN())),OFFSET($BN$2,0,0,ROW()-1,60),ROW()-1,FALSE))</f>
        <v>2503.34</v>
      </c>
      <c r="BG7">
        <f ca="1">IF(AND(ISNUMBER($BG$42),$B$31=1),$BG$42,HLOOKUP(INDIRECT(ADDRESS(2,COLUMN())),OFFSET($BN$2,0,0,ROW()-1,60),ROW()-1,FALSE))</f>
        <v>2517.1840000000002</v>
      </c>
      <c r="BH7">
        <f ca="1">IF(AND(ISNUMBER($BH$42),$B$31=1),$BH$42,HLOOKUP(INDIRECT(ADDRESS(2,COLUMN())),OFFSET($BN$2,0,0,ROW()-1,60),ROW()-1,FALSE))</f>
        <v>2495.0349999999999</v>
      </c>
      <c r="BI7">
        <f ca="1">IF(AND(ISNUMBER($BI$42),$B$31=1),$BI$42,HLOOKUP(INDIRECT(ADDRESS(2,COLUMN())),OFFSET($BN$2,0,0,ROW()-1,60),ROW()-1,FALSE))</f>
        <v>2501.81</v>
      </c>
      <c r="BJ7">
        <f ca="1">IF(AND(ISNUMBER($BJ$42),$B$31=1),$BJ$42,HLOOKUP(INDIRECT(ADDRESS(2,COLUMN())),OFFSET($BN$2,0,0,ROW()-1,60),ROW()-1,FALSE))</f>
        <v>2531.982</v>
      </c>
      <c r="BK7">
        <f ca="1">IF(AND(ISNUMBER($BK$42),$B$31=1),$BK$42,HLOOKUP(INDIRECT(ADDRESS(2,COLUMN())),OFFSET($BN$2,0,0,ROW()-1,60),ROW()-1,FALSE))</f>
        <v>2516.4169999999999</v>
      </c>
      <c r="BL7">
        <f ca="1">IF(AND(ISNUMBER($BL$42),$B$31=1),$BL$42,HLOOKUP(INDIRECT(ADDRESS(2,COLUMN())),OFFSET($BN$2,0,0,ROW()-1,60),ROW()-1,FALSE))</f>
        <v>2516.9209999999998</v>
      </c>
      <c r="BM7">
        <f ca="1">IF(AND(ISNUMBER($BM$42),$B$31=1),$BM$42,HLOOKUP(INDIRECT(ADDRESS(2,COLUMN())),OFFSET($BN$2,0,0,ROW()-1,60),ROW()-1,FALSE))</f>
        <v>2508.8850000000002</v>
      </c>
      <c r="BN7">
        <f>4054.615</f>
        <v>4054.6149999999998</v>
      </c>
      <c r="BO7">
        <f>4030.962</f>
        <v>4030.962</v>
      </c>
      <c r="BP7">
        <f>3996.878</f>
        <v>3996.8780000000002</v>
      </c>
      <c r="BQ7">
        <f>3947.656</f>
        <v>3947.6559999999999</v>
      </c>
      <c r="BR7">
        <f>3882.139</f>
        <v>3882.1390000000001</v>
      </c>
      <c r="BS7">
        <f>3840.088</f>
        <v>3840.0880000000002</v>
      </c>
      <c r="BT7">
        <f>3781.725</f>
        <v>3781.7249999999999</v>
      </c>
      <c r="BU7">
        <f>3758.931</f>
        <v>3758.931</v>
      </c>
      <c r="BV7">
        <f>3674.318</f>
        <v>3674.3180000000002</v>
      </c>
      <c r="BW7">
        <f>3680.844</f>
        <v>3680.8440000000001</v>
      </c>
      <c r="BX7">
        <f>3641.91</f>
        <v>3641.91</v>
      </c>
      <c r="BY7">
        <f>3590.272</f>
        <v>3590.2719999999999</v>
      </c>
      <c r="BZ7">
        <f>3560.032</f>
        <v>3560.0320000000002</v>
      </c>
      <c r="CA7">
        <f>3473.916</f>
        <v>3473.9160000000002</v>
      </c>
      <c r="CB7">
        <f>3440.748</f>
        <v>3440.748</v>
      </c>
      <c r="CC7">
        <f>3386.91</f>
        <v>3386.91</v>
      </c>
      <c r="CD7">
        <f>3348.272</f>
        <v>3348.2719999999999</v>
      </c>
      <c r="CE7">
        <f>3325.207</f>
        <v>3325.2069999999999</v>
      </c>
      <c r="CF7">
        <f>3195.54</f>
        <v>3195.54</v>
      </c>
      <c r="CG7">
        <f>3182.435</f>
        <v>3182.4349999999999</v>
      </c>
      <c r="CH7">
        <f>3209.423</f>
        <v>3209.4229999999998</v>
      </c>
      <c r="CI7">
        <f>3136.014</f>
        <v>3136.0140000000001</v>
      </c>
      <c r="CJ7">
        <f>3080.936</f>
        <v>3080.9360000000001</v>
      </c>
      <c r="CK7">
        <f>3034.139</f>
        <v>3034.1390000000001</v>
      </c>
      <c r="CL7">
        <f>2994.223</f>
        <v>2994.223</v>
      </c>
      <c r="CM7">
        <f>2938.925</f>
        <v>2938.9250000000002</v>
      </c>
      <c r="CN7">
        <f>2912.96</f>
        <v>2912.96</v>
      </c>
      <c r="CO7">
        <f>2885.521</f>
        <v>2885.5210000000002</v>
      </c>
      <c r="CP7">
        <f>2839.147</f>
        <v>2839.1469999999999</v>
      </c>
      <c r="CQ7">
        <f>2801.299</f>
        <v>2801.299</v>
      </c>
      <c r="CR7">
        <f>2761.375</f>
        <v>2761.375</v>
      </c>
      <c r="CS7">
        <f>2715.851</f>
        <v>2715.8510000000001</v>
      </c>
      <c r="CT7">
        <f>2695.724</f>
        <v>2695.7240000000002</v>
      </c>
      <c r="CU7">
        <f>2689.905</f>
        <v>2689.9050000000002</v>
      </c>
      <c r="CV7">
        <f>2680.996</f>
        <v>2680.9960000000001</v>
      </c>
      <c r="CW7">
        <f>2668.281</f>
        <v>2668.2809999999999</v>
      </c>
      <c r="CX7">
        <f>2642.923</f>
        <v>2642.9229999999998</v>
      </c>
      <c r="CY7">
        <f>2621.296</f>
        <v>2621.2959999999998</v>
      </c>
      <c r="CZ7">
        <f>2624.356</f>
        <v>2624.3560000000002</v>
      </c>
      <c r="DA7">
        <f>2615.896</f>
        <v>2615.8960000000002</v>
      </c>
      <c r="DB7">
        <f>2601.375</f>
        <v>2601.375</v>
      </c>
      <c r="DC7">
        <f>2574.327</f>
        <v>2574.3270000000002</v>
      </c>
      <c r="DD7">
        <f>2571.889</f>
        <v>2571.8890000000001</v>
      </c>
      <c r="DE7">
        <f>2581.399</f>
        <v>2581.3989999999999</v>
      </c>
      <c r="DF7">
        <f>2548.426</f>
        <v>2548.4259999999999</v>
      </c>
      <c r="DG7">
        <f>2547.392</f>
        <v>2547.3919999999998</v>
      </c>
      <c r="DH7">
        <f>2536.463</f>
        <v>2536.4630000000002</v>
      </c>
      <c r="DI7">
        <f>2530.734</f>
        <v>2530.7339999999999</v>
      </c>
      <c r="DJ7">
        <f>2531.613</f>
        <v>2531.6129999999998</v>
      </c>
      <c r="DK7">
        <f>2524.169</f>
        <v>2524.1689999999999</v>
      </c>
      <c r="DL7">
        <f>2521.55</f>
        <v>2521.5500000000002</v>
      </c>
      <c r="DM7">
        <f>2519.684</f>
        <v>2519.6840000000002</v>
      </c>
      <c r="DN7">
        <f>2503.34</f>
        <v>2503.34</v>
      </c>
      <c r="DO7">
        <f>2517.184</f>
        <v>2517.1840000000002</v>
      </c>
      <c r="DP7">
        <f>2495.035</f>
        <v>2495.0349999999999</v>
      </c>
      <c r="DQ7">
        <f>2501.81</f>
        <v>2501.81</v>
      </c>
      <c r="DR7">
        <f>2531.982</f>
        <v>2531.982</v>
      </c>
      <c r="DS7">
        <f>2516.417</f>
        <v>2516.4169999999999</v>
      </c>
      <c r="DT7">
        <f>2516.921</f>
        <v>2516.9209999999998</v>
      </c>
      <c r="DU7">
        <f>2508.885</f>
        <v>2508.8850000000002</v>
      </c>
    </row>
    <row r="8" spans="1:125" x14ac:dyDescent="0.25">
      <c r="A8" t="str">
        <f>"        Government: Gross Investment"</f>
        <v xml:space="preserve">        Government: Gross Investment</v>
      </c>
      <c r="B8" t="str">
        <f>"GCEXGRSS Index"</f>
        <v>GCEXGRSS Index</v>
      </c>
      <c r="C8" t="str">
        <f t="shared" si="0"/>
        <v>PR005</v>
      </c>
      <c r="D8" t="str">
        <f t="shared" si="1"/>
        <v>PX_LAST</v>
      </c>
      <c r="E8" t="str">
        <f t="shared" si="2"/>
        <v>Dynamic</v>
      </c>
      <c r="F8">
        <f ca="1">IF(AND(ISNUMBER($F$43),$B$31=1),$F$43,HLOOKUP(INDIRECT(ADDRESS(2,COLUMN())),OFFSET($BN$2,0,0,ROW()-1,60),ROW()-1,FALSE))</f>
        <v>1135.0409999999999</v>
      </c>
      <c r="G8">
        <f ca="1">IF(AND(ISNUMBER($G$43),$B$31=1),$G$43,HLOOKUP(INDIRECT(ADDRESS(2,COLUMN())),OFFSET($BN$2,0,0,ROW()-1,60),ROW()-1,FALSE))</f>
        <v>1118.93</v>
      </c>
      <c r="H8">
        <f ca="1">IF(AND(ISNUMBER($H$43),$B$31=1),$H$43,HLOOKUP(INDIRECT(ADDRESS(2,COLUMN())),OFFSET($BN$2,0,0,ROW()-1,60),ROW()-1,FALSE))</f>
        <v>1102.8510000000001</v>
      </c>
      <c r="I8">
        <f ca="1">IF(AND(ISNUMBER($I$43),$B$31=1),$I$43,HLOOKUP(INDIRECT(ADDRESS(2,COLUMN())),OFFSET($BN$2,0,0,ROW()-1,60),ROW()-1,FALSE))</f>
        <v>1087.3520000000001</v>
      </c>
      <c r="J8">
        <f ca="1">IF(AND(ISNUMBER($J$43),$B$31=1),$J$43,HLOOKUP(INDIRECT(ADDRESS(2,COLUMN())),OFFSET($BN$2,0,0,ROW()-1,60),ROW()-1,FALSE))</f>
        <v>1060.902</v>
      </c>
      <c r="K8">
        <f ca="1">IF(AND(ISNUMBER($K$43),$B$31=1),$K$43,HLOOKUP(INDIRECT(ADDRESS(2,COLUMN())),OFFSET($BN$2,0,0,ROW()-1,60),ROW()-1,FALSE))</f>
        <v>1040.8720000000001</v>
      </c>
      <c r="L8">
        <f ca="1">IF(AND(ISNUMBER($L$43),$B$31=1),$L$43,HLOOKUP(INDIRECT(ADDRESS(2,COLUMN())),OFFSET($BN$2,0,0,ROW()-1,60),ROW()-1,FALSE))</f>
        <v>1033.4259999999999</v>
      </c>
      <c r="M8">
        <f ca="1">IF(AND(ISNUMBER($M$43),$B$31=1),$M$43,HLOOKUP(INDIRECT(ADDRESS(2,COLUMN())),OFFSET($BN$2,0,0,ROW()-1,60),ROW()-1,FALSE))</f>
        <v>997.51700000000005</v>
      </c>
      <c r="N8">
        <f ca="1">IF(AND(ISNUMBER($N$43),$B$31=1),$N$43,HLOOKUP(INDIRECT(ADDRESS(2,COLUMN())),OFFSET($BN$2,0,0,ROW()-1,60),ROW()-1,FALSE))</f>
        <v>971.58699999999999</v>
      </c>
      <c r="O8">
        <f ca="1">IF(AND(ISNUMBER($O$43),$B$31=1),$O$43,HLOOKUP(INDIRECT(ADDRESS(2,COLUMN())),OFFSET($BN$2,0,0,ROW()-1,60),ROW()-1,FALSE))</f>
        <v>943.74199999999996</v>
      </c>
      <c r="P8">
        <f ca="1">IF(AND(ISNUMBER($P$43),$B$31=1),$P$43,HLOOKUP(INDIRECT(ADDRESS(2,COLUMN())),OFFSET($BN$2,0,0,ROW()-1,60),ROW()-1,FALSE))</f>
        <v>922.88199999999995</v>
      </c>
      <c r="Q8">
        <f ca="1">IF(AND(ISNUMBER($Q$43),$B$31=1),$Q$43,HLOOKUP(INDIRECT(ADDRESS(2,COLUMN())),OFFSET($BN$2,0,0,ROW()-1,60),ROW()-1,FALSE))</f>
        <v>889.77800000000002</v>
      </c>
      <c r="R8">
        <f ca="1">IF(AND(ISNUMBER($R$43),$B$31=1),$R$43,HLOOKUP(INDIRECT(ADDRESS(2,COLUMN())),OFFSET($BN$2,0,0,ROW()-1,60),ROW()-1,FALSE))</f>
        <v>877.577</v>
      </c>
      <c r="S8">
        <f ca="1">IF(AND(ISNUMBER($S$43),$B$31=1),$S$43,HLOOKUP(INDIRECT(ADDRESS(2,COLUMN())),OFFSET($BN$2,0,0,ROW()-1,60),ROW()-1,FALSE))</f>
        <v>858.69399999999996</v>
      </c>
      <c r="T8">
        <f ca="1">IF(AND(ISNUMBER($T$43),$B$31=1),$T$43,HLOOKUP(INDIRECT(ADDRESS(2,COLUMN())),OFFSET($BN$2,0,0,ROW()-1,60),ROW()-1,FALSE))</f>
        <v>841.57</v>
      </c>
      <c r="U8">
        <f ca="1">IF(AND(ISNUMBER($U$43),$B$31=1),$U$43,HLOOKUP(INDIRECT(ADDRESS(2,COLUMN())),OFFSET($BN$2,0,0,ROW()-1,60),ROW()-1,FALSE))</f>
        <v>827.06</v>
      </c>
      <c r="V8">
        <f ca="1">IF(AND(ISNUMBER($V$43),$B$31=1),$V$43,HLOOKUP(INDIRECT(ADDRESS(2,COLUMN())),OFFSET($BN$2,0,0,ROW()-1,60),ROW()-1,FALSE))</f>
        <v>821.74400000000003</v>
      </c>
      <c r="W8">
        <f ca="1">IF(AND(ISNUMBER($W$43),$B$31=1),$W$43,HLOOKUP(INDIRECT(ADDRESS(2,COLUMN())),OFFSET($BN$2,0,0,ROW()-1,60),ROW()-1,FALSE))</f>
        <v>822.41899999999998</v>
      </c>
      <c r="X8">
        <f ca="1">IF(AND(ISNUMBER($X$43),$B$31=1),$X$43,HLOOKUP(INDIRECT(ADDRESS(2,COLUMN())),OFFSET($BN$2,0,0,ROW()-1,60),ROW()-1,FALSE))</f>
        <v>832.45500000000004</v>
      </c>
      <c r="Y8">
        <f ca="1">IF(AND(ISNUMBER($Y$43),$B$31=1),$Y$43,HLOOKUP(INDIRECT(ADDRESS(2,COLUMN())),OFFSET($BN$2,0,0,ROW()-1,60),ROW()-1,FALSE))</f>
        <v>819.13499999999999</v>
      </c>
      <c r="Z8">
        <f ca="1">IF(AND(ISNUMBER($Z$43),$B$31=1),$Z$43,HLOOKUP(INDIRECT(ADDRESS(2,COLUMN())),OFFSET($BN$2,0,0,ROW()-1,60),ROW()-1,FALSE))</f>
        <v>816.55100000000004</v>
      </c>
      <c r="AA8">
        <f ca="1">IF(AND(ISNUMBER($AA$43),$B$31=1),$AA$43,HLOOKUP(INDIRECT(ADDRESS(2,COLUMN())),OFFSET($BN$2,0,0,ROW()-1,60),ROW()-1,FALSE))</f>
        <v>806.99800000000005</v>
      </c>
      <c r="AB8">
        <f ca="1">IF(AND(ISNUMBER($AB$43),$B$31=1),$AB$43,HLOOKUP(INDIRECT(ADDRESS(2,COLUMN())),OFFSET($BN$2,0,0,ROW()-1,60),ROW()-1,FALSE))</f>
        <v>784.03200000000004</v>
      </c>
      <c r="AC8">
        <f ca="1">IF(AND(ISNUMBER($AC$43),$B$31=1),$AC$43,HLOOKUP(INDIRECT(ADDRESS(2,COLUMN())),OFFSET($BN$2,0,0,ROW()-1,60),ROW()-1,FALSE))</f>
        <v>780.69799999999998</v>
      </c>
      <c r="AD8">
        <f ca="1">IF(AND(ISNUMBER($AD$43),$B$31=1),$AD$43,HLOOKUP(INDIRECT(ADDRESS(2,COLUMN())),OFFSET($BN$2,0,0,ROW()-1,60),ROW()-1,FALSE))</f>
        <v>767.02</v>
      </c>
      <c r="AE8">
        <f ca="1">IF(AND(ISNUMBER($AE$43),$B$31=1),$AE$43,HLOOKUP(INDIRECT(ADDRESS(2,COLUMN())),OFFSET($BN$2,0,0,ROW()-1,60),ROW()-1,FALSE))</f>
        <v>764.00900000000001</v>
      </c>
      <c r="AF8">
        <f ca="1">IF(AND(ISNUMBER($AF$43),$B$31=1),$AF$43,HLOOKUP(INDIRECT(ADDRESS(2,COLUMN())),OFFSET($BN$2,0,0,ROW()-1,60),ROW()-1,FALSE))</f>
        <v>737.88800000000003</v>
      </c>
      <c r="AG8">
        <f ca="1">IF(AND(ISNUMBER($AG$43),$B$31=1),$AG$43,HLOOKUP(INDIRECT(ADDRESS(2,COLUMN())),OFFSET($BN$2,0,0,ROW()-1,60),ROW()-1,FALSE))</f>
        <v>740.56500000000005</v>
      </c>
      <c r="AH8">
        <f ca="1">IF(AND(ISNUMBER($AH$43),$B$31=1),$AH$43,HLOOKUP(INDIRECT(ADDRESS(2,COLUMN())),OFFSET($BN$2,0,0,ROW()-1,60),ROW()-1,FALSE))</f>
        <v>731.56700000000001</v>
      </c>
      <c r="AI8">
        <f ca="1">IF(AND(ISNUMBER($AI$43),$B$31=1),$AI$43,HLOOKUP(INDIRECT(ADDRESS(2,COLUMN())),OFFSET($BN$2,0,0,ROW()-1,60),ROW()-1,FALSE))</f>
        <v>712.577</v>
      </c>
      <c r="AJ8">
        <f ca="1">IF(AND(ISNUMBER($AJ$43),$B$31=1),$AJ$43,HLOOKUP(INDIRECT(ADDRESS(2,COLUMN())),OFFSET($BN$2,0,0,ROW()-1,60),ROW()-1,FALSE))</f>
        <v>704.76199999999994</v>
      </c>
      <c r="AK8">
        <f ca="1">IF(AND(ISNUMBER($AK$43),$B$31=1),$AK$43,HLOOKUP(INDIRECT(ADDRESS(2,COLUMN())),OFFSET($BN$2,0,0,ROW()-1,60),ROW()-1,FALSE))</f>
        <v>683.03499999999997</v>
      </c>
      <c r="AL8">
        <f ca="1">IF(AND(ISNUMBER($AL$43),$B$31=1),$AL$43,HLOOKUP(INDIRECT(ADDRESS(2,COLUMN())),OFFSET($BN$2,0,0,ROW()-1,60),ROW()-1,FALSE))</f>
        <v>674.72</v>
      </c>
      <c r="AM8">
        <f ca="1">IF(AND(ISNUMBER($AM$43),$B$31=1),$AM$43,HLOOKUP(INDIRECT(ADDRESS(2,COLUMN())),OFFSET($BN$2,0,0,ROW()-1,60),ROW()-1,FALSE))</f>
        <v>663.19100000000003</v>
      </c>
      <c r="AN8">
        <f ca="1">IF(AND(ISNUMBER($AN$43),$B$31=1),$AN$43,HLOOKUP(INDIRECT(ADDRESS(2,COLUMN())),OFFSET($BN$2,0,0,ROW()-1,60),ROW()-1,FALSE))</f>
        <v>656.24900000000002</v>
      </c>
      <c r="AO8">
        <f ca="1">IF(AND(ISNUMBER($AO$43),$B$31=1),$AO$43,HLOOKUP(INDIRECT(ADDRESS(2,COLUMN())),OFFSET($BN$2,0,0,ROW()-1,60),ROW()-1,FALSE))</f>
        <v>646.89</v>
      </c>
      <c r="AP8">
        <f ca="1">IF(AND(ISNUMBER($AP$43),$B$31=1),$AP$43,HLOOKUP(INDIRECT(ADDRESS(2,COLUMN())),OFFSET($BN$2,0,0,ROW()-1,60),ROW()-1,FALSE))</f>
        <v>646.64400000000001</v>
      </c>
      <c r="AQ8">
        <f ca="1">IF(AND(ISNUMBER($AQ$43),$B$31=1),$AQ$43,HLOOKUP(INDIRECT(ADDRESS(2,COLUMN())),OFFSET($BN$2,0,0,ROW()-1,60),ROW()-1,FALSE))</f>
        <v>648.84500000000003</v>
      </c>
      <c r="AR8">
        <f ca="1">IF(AND(ISNUMBER($AR$43),$B$31=1),$AR$43,HLOOKUP(INDIRECT(ADDRESS(2,COLUMN())),OFFSET($BN$2,0,0,ROW()-1,60),ROW()-1,FALSE))</f>
        <v>633.78700000000003</v>
      </c>
      <c r="AS8">
        <f ca="1">IF(AND(ISNUMBER($AS$43),$B$31=1),$AS$43,HLOOKUP(INDIRECT(ADDRESS(2,COLUMN())),OFFSET($BN$2,0,0,ROW()-1,60),ROW()-1,FALSE))</f>
        <v>637.65800000000002</v>
      </c>
      <c r="AT8">
        <f ca="1">IF(AND(ISNUMBER($AT$43),$B$31=1),$AT$43,HLOOKUP(INDIRECT(ADDRESS(2,COLUMN())),OFFSET($BN$2,0,0,ROW()-1,60),ROW()-1,FALSE))</f>
        <v>632.69200000000001</v>
      </c>
      <c r="AU8">
        <f ca="1">IF(AND(ISNUMBER($AU$43),$B$31=1),$AU$43,HLOOKUP(INDIRECT(ADDRESS(2,COLUMN())),OFFSET($BN$2,0,0,ROW()-1,60),ROW()-1,FALSE))</f>
        <v>613.58799999999997</v>
      </c>
      <c r="AV8">
        <f ca="1">IF(AND(ISNUMBER($AV$43),$B$31=1),$AV$43,HLOOKUP(INDIRECT(ADDRESS(2,COLUMN())),OFFSET($BN$2,0,0,ROW()-1,60),ROW()-1,FALSE))</f>
        <v>617.36400000000003</v>
      </c>
      <c r="AW8">
        <f ca="1">IF(AND(ISNUMBER($AW$43),$B$31=1),$AW$43,HLOOKUP(INDIRECT(ADDRESS(2,COLUMN())),OFFSET($BN$2,0,0,ROW()-1,60),ROW()-1,FALSE))</f>
        <v>610.35</v>
      </c>
      <c r="AX8">
        <f ca="1">IF(AND(ISNUMBER($AX$43),$B$31=1),$AX$43,HLOOKUP(INDIRECT(ADDRESS(2,COLUMN())),OFFSET($BN$2,0,0,ROW()-1,60),ROW()-1,FALSE))</f>
        <v>605.94000000000005</v>
      </c>
      <c r="AY8">
        <f ca="1">IF(AND(ISNUMBER($AY$43),$B$31=1),$AY$43,HLOOKUP(INDIRECT(ADDRESS(2,COLUMN())),OFFSET($BN$2,0,0,ROW()-1,60),ROW()-1,FALSE))</f>
        <v>591.66899999999998</v>
      </c>
      <c r="AZ8">
        <f ca="1">IF(AND(ISNUMBER($AZ$43),$B$31=1),$AZ$43,HLOOKUP(INDIRECT(ADDRESS(2,COLUMN())),OFFSET($BN$2,0,0,ROW()-1,60),ROW()-1,FALSE))</f>
        <v>604.05399999999997</v>
      </c>
      <c r="BA8">
        <f ca="1">IF(AND(ISNUMBER($BA$43),$B$31=1),$BA$43,HLOOKUP(INDIRECT(ADDRESS(2,COLUMN())),OFFSET($BN$2,0,0,ROW()-1,60),ROW()-1,FALSE))</f>
        <v>604.45799999999997</v>
      </c>
      <c r="BB8">
        <f ca="1">IF(AND(ISNUMBER($BB$43),$B$31=1),$BB$43,HLOOKUP(INDIRECT(ADDRESS(2,COLUMN())),OFFSET($BN$2,0,0,ROW()-1,60),ROW()-1,FALSE))</f>
        <v>599.53</v>
      </c>
      <c r="BC8">
        <f ca="1">IF(AND(ISNUMBER($BC$43),$B$31=1),$BC$43,HLOOKUP(INDIRECT(ADDRESS(2,COLUMN())),OFFSET($BN$2,0,0,ROW()-1,60),ROW()-1,FALSE))</f>
        <v>599.28499999999997</v>
      </c>
      <c r="BD8">
        <f ca="1">IF(AND(ISNUMBER($BD$43),$B$31=1),$BD$43,HLOOKUP(INDIRECT(ADDRESS(2,COLUMN())),OFFSET($BN$2,0,0,ROW()-1,60),ROW()-1,FALSE))</f>
        <v>610.75800000000004</v>
      </c>
      <c r="BE8">
        <f ca="1">IF(AND(ISNUMBER($BE$43),$B$31=1),$BE$43,HLOOKUP(INDIRECT(ADDRESS(2,COLUMN())),OFFSET($BN$2,0,0,ROW()-1,60),ROW()-1,FALSE))</f>
        <v>619.428</v>
      </c>
      <c r="BF8">
        <f ca="1">IF(AND(ISNUMBER($BF$43),$B$31=1),$BF$43,HLOOKUP(INDIRECT(ADDRESS(2,COLUMN())),OFFSET($BN$2,0,0,ROW()-1,60),ROW()-1,FALSE))</f>
        <v>627.09799999999996</v>
      </c>
      <c r="BG8">
        <f ca="1">IF(AND(ISNUMBER($BG$43),$B$31=1),$BG$43,HLOOKUP(INDIRECT(ADDRESS(2,COLUMN())),OFFSET($BN$2,0,0,ROW()-1,60),ROW()-1,FALSE))</f>
        <v>626.84100000000001</v>
      </c>
      <c r="BH8">
        <f ca="1">IF(AND(ISNUMBER($BH$43),$B$31=1),$BH$43,HLOOKUP(INDIRECT(ADDRESS(2,COLUMN())),OFFSET($BN$2,0,0,ROW()-1,60),ROW()-1,FALSE))</f>
        <v>635.73099999999999</v>
      </c>
      <c r="BI8">
        <f ca="1">IF(AND(ISNUMBER($BI$43),$B$31=1),$BI$43,HLOOKUP(INDIRECT(ADDRESS(2,COLUMN())),OFFSET($BN$2,0,0,ROW()-1,60),ROW()-1,FALSE))</f>
        <v>635.11199999999997</v>
      </c>
      <c r="BJ8">
        <f ca="1">IF(AND(ISNUMBER($BJ$43),$B$31=1),$BJ$43,HLOOKUP(INDIRECT(ADDRESS(2,COLUMN())),OFFSET($BN$2,0,0,ROW()-1,60),ROW()-1,FALSE))</f>
        <v>636.279</v>
      </c>
      <c r="BK8">
        <f ca="1">IF(AND(ISNUMBER($BK$43),$B$31=1),$BK$43,HLOOKUP(INDIRECT(ADDRESS(2,COLUMN())),OFFSET($BN$2,0,0,ROW()-1,60),ROW()-1,FALSE))</f>
        <v>639.351</v>
      </c>
      <c r="BL8">
        <f ca="1">IF(AND(ISNUMBER($BL$43),$B$31=1),$BL$43,HLOOKUP(INDIRECT(ADDRESS(2,COLUMN())),OFFSET($BN$2,0,0,ROW()-1,60),ROW()-1,FALSE))</f>
        <v>647.39599999999996</v>
      </c>
      <c r="BM8">
        <f ca="1">IF(AND(ISNUMBER($BM$43),$B$31=1),$BM$43,HLOOKUP(INDIRECT(ADDRESS(2,COLUMN())),OFFSET($BN$2,0,0,ROW()-1,60),ROW()-1,FALSE))</f>
        <v>649.41600000000005</v>
      </c>
      <c r="BN8">
        <f>1135.041</f>
        <v>1135.0409999999999</v>
      </c>
      <c r="BO8">
        <f>1118.93</f>
        <v>1118.93</v>
      </c>
      <c r="BP8">
        <f>1102.851</f>
        <v>1102.8510000000001</v>
      </c>
      <c r="BQ8">
        <f>1087.352</f>
        <v>1087.3520000000001</v>
      </c>
      <c r="BR8">
        <f>1060.902</f>
        <v>1060.902</v>
      </c>
      <c r="BS8">
        <f>1040.872</f>
        <v>1040.8720000000001</v>
      </c>
      <c r="BT8">
        <f>1033.426</f>
        <v>1033.4259999999999</v>
      </c>
      <c r="BU8">
        <f>997.517</f>
        <v>997.51700000000005</v>
      </c>
      <c r="BV8">
        <f>971.587</f>
        <v>971.58699999999999</v>
      </c>
      <c r="BW8">
        <f>943.742</f>
        <v>943.74199999999996</v>
      </c>
      <c r="BX8">
        <f>922.882</f>
        <v>922.88199999999995</v>
      </c>
      <c r="BY8">
        <f>889.778</f>
        <v>889.77800000000002</v>
      </c>
      <c r="BZ8">
        <f>877.577</f>
        <v>877.577</v>
      </c>
      <c r="CA8">
        <f>858.694</f>
        <v>858.69399999999996</v>
      </c>
      <c r="CB8">
        <f>841.57</f>
        <v>841.57</v>
      </c>
      <c r="CC8">
        <f>827.06</f>
        <v>827.06</v>
      </c>
      <c r="CD8">
        <f>821.744</f>
        <v>821.74400000000003</v>
      </c>
      <c r="CE8">
        <f>822.419</f>
        <v>822.41899999999998</v>
      </c>
      <c r="CF8">
        <f>832.455</f>
        <v>832.45500000000004</v>
      </c>
      <c r="CG8">
        <f>819.135</f>
        <v>819.13499999999999</v>
      </c>
      <c r="CH8">
        <f>816.551</f>
        <v>816.55100000000004</v>
      </c>
      <c r="CI8">
        <f>806.998</f>
        <v>806.99800000000005</v>
      </c>
      <c r="CJ8">
        <f>784.032</f>
        <v>784.03200000000004</v>
      </c>
      <c r="CK8">
        <f>780.698</f>
        <v>780.69799999999998</v>
      </c>
      <c r="CL8">
        <f>767.02</f>
        <v>767.02</v>
      </c>
      <c r="CM8">
        <f>764.009</f>
        <v>764.00900000000001</v>
      </c>
      <c r="CN8">
        <f>737.888</f>
        <v>737.88800000000003</v>
      </c>
      <c r="CO8">
        <f>740.565</f>
        <v>740.56500000000005</v>
      </c>
      <c r="CP8">
        <f>731.567</f>
        <v>731.56700000000001</v>
      </c>
      <c r="CQ8">
        <f>712.577</f>
        <v>712.577</v>
      </c>
      <c r="CR8">
        <f>704.762</f>
        <v>704.76199999999994</v>
      </c>
      <c r="CS8">
        <f>683.035</f>
        <v>683.03499999999997</v>
      </c>
      <c r="CT8">
        <f>674.72</f>
        <v>674.72</v>
      </c>
      <c r="CU8">
        <f>663.191</f>
        <v>663.19100000000003</v>
      </c>
      <c r="CV8">
        <f>656.249</f>
        <v>656.24900000000002</v>
      </c>
      <c r="CW8">
        <f>646.89</f>
        <v>646.89</v>
      </c>
      <c r="CX8">
        <f>646.644</f>
        <v>646.64400000000001</v>
      </c>
      <c r="CY8">
        <f>648.845</f>
        <v>648.84500000000003</v>
      </c>
      <c r="CZ8">
        <f>633.787</f>
        <v>633.78700000000003</v>
      </c>
      <c r="DA8">
        <f>637.658</f>
        <v>637.65800000000002</v>
      </c>
      <c r="DB8">
        <f>632.692</f>
        <v>632.69200000000001</v>
      </c>
      <c r="DC8">
        <f>613.588</f>
        <v>613.58799999999997</v>
      </c>
      <c r="DD8">
        <f>617.364</f>
        <v>617.36400000000003</v>
      </c>
      <c r="DE8">
        <f>610.35</f>
        <v>610.35</v>
      </c>
      <c r="DF8">
        <f>605.94</f>
        <v>605.94000000000005</v>
      </c>
      <c r="DG8">
        <f>591.669</f>
        <v>591.66899999999998</v>
      </c>
      <c r="DH8">
        <f>604.054</f>
        <v>604.05399999999997</v>
      </c>
      <c r="DI8">
        <f>604.458</f>
        <v>604.45799999999997</v>
      </c>
      <c r="DJ8">
        <f>599.53</f>
        <v>599.53</v>
      </c>
      <c r="DK8">
        <f>599.285</f>
        <v>599.28499999999997</v>
      </c>
      <c r="DL8">
        <f>610.758</f>
        <v>610.75800000000004</v>
      </c>
      <c r="DM8">
        <f>619.428</f>
        <v>619.428</v>
      </c>
      <c r="DN8">
        <f>627.098</f>
        <v>627.09799999999996</v>
      </c>
      <c r="DO8">
        <f>626.841</f>
        <v>626.84100000000001</v>
      </c>
      <c r="DP8">
        <f>635.731</f>
        <v>635.73099999999999</v>
      </c>
      <c r="DQ8">
        <f>635.112</f>
        <v>635.11199999999997</v>
      </c>
      <c r="DR8">
        <f>636.279</f>
        <v>636.279</v>
      </c>
      <c r="DS8">
        <f>639.351</f>
        <v>639.351</v>
      </c>
      <c r="DT8">
        <f>647.396</f>
        <v>647.39599999999996</v>
      </c>
      <c r="DU8">
        <f>649.416</f>
        <v>649.41600000000005</v>
      </c>
    </row>
    <row r="9" spans="1:125" x14ac:dyDescent="0.25">
      <c r="A9" t="str">
        <f>"        Exports"</f>
        <v xml:space="preserve">        Exports</v>
      </c>
      <c r="B9" t="str">
        <f>"GDP$EXP Index"</f>
        <v>GDP$EXP Index</v>
      </c>
      <c r="C9" t="str">
        <f t="shared" si="0"/>
        <v>PR005</v>
      </c>
      <c r="D9" t="str">
        <f t="shared" si="1"/>
        <v>PX_LAST</v>
      </c>
      <c r="E9" t="str">
        <f t="shared" si="2"/>
        <v>Dynamic</v>
      </c>
      <c r="F9">
        <f ca="1">IF(AND(ISNUMBER($F$44),$B$31=1),$F$44,HLOOKUP(INDIRECT(ADDRESS(2,COLUMN())),OFFSET($BN$2,0,0,ROW()-1,60),ROW()-1,FALSE))</f>
        <v>3241.9459999999999</v>
      </c>
      <c r="G9">
        <f ca="1">IF(AND(ISNUMBER($G$44),$B$31=1),$G$44,HLOOKUP(INDIRECT(ADDRESS(2,COLUMN())),OFFSET($BN$2,0,0,ROW()-1,60),ROW()-1,FALSE))</f>
        <v>3266.413</v>
      </c>
      <c r="H9">
        <f ca="1">IF(AND(ISNUMBER($H$44),$B$31=1),$H$44,HLOOKUP(INDIRECT(ADDRESS(2,COLUMN())),OFFSET($BN$2,0,0,ROW()-1,60),ROW()-1,FALSE))</f>
        <v>3220.9290000000001</v>
      </c>
      <c r="I9">
        <f ca="1">IF(AND(ISNUMBER($I$44),$B$31=1),$I$44,HLOOKUP(INDIRECT(ADDRESS(2,COLUMN())),OFFSET($BN$2,0,0,ROW()-1,60),ROW()-1,FALSE))</f>
        <v>3220.2919999999999</v>
      </c>
      <c r="J9">
        <f ca="1">IF(AND(ISNUMBER($J$44),$B$31=1),$J$44,HLOOKUP(INDIRECT(ADDRESS(2,COLUMN())),OFFSET($BN$2,0,0,ROW()-1,60),ROW()-1,FALSE))</f>
        <v>3154.3209999999999</v>
      </c>
      <c r="K9">
        <f ca="1">IF(AND(ISNUMBER($K$44),$B$31=1),$K$44,HLOOKUP(INDIRECT(ADDRESS(2,COLUMN())),OFFSET($BN$2,0,0,ROW()-1,60),ROW()-1,FALSE))</f>
        <v>3125.4209999999998</v>
      </c>
      <c r="L9">
        <f ca="1">IF(AND(ISNUMBER($L$44),$B$31=1),$L$44,HLOOKUP(INDIRECT(ADDRESS(2,COLUMN())),OFFSET($BN$2,0,0,ROW()-1,60),ROW()-1,FALSE))</f>
        <v>3091.748</v>
      </c>
      <c r="M9">
        <f ca="1">IF(AND(ISNUMBER($M$44),$B$31=1),$M$44,HLOOKUP(INDIRECT(ADDRESS(2,COLUMN())),OFFSET($BN$2,0,0,ROW()-1,60),ROW()-1,FALSE))</f>
        <v>3062.0410000000002</v>
      </c>
      <c r="N9">
        <f ca="1">IF(AND(ISNUMBER($N$44),$B$31=1),$N$44,HLOOKUP(INDIRECT(ADDRESS(2,COLUMN())),OFFSET($BN$2,0,0,ROW()-1,60),ROW()-1,FALSE))</f>
        <v>2995.5239999999999</v>
      </c>
      <c r="O9">
        <f ca="1">IF(AND(ISNUMBER($O$44),$B$31=1),$O$44,HLOOKUP(INDIRECT(ADDRESS(2,COLUMN())),OFFSET($BN$2,0,0,ROW()-1,60),ROW()-1,FALSE))</f>
        <v>3060.5619999999999</v>
      </c>
      <c r="P9">
        <f ca="1">IF(AND(ISNUMBER($P$44),$B$31=1),$P$44,HLOOKUP(INDIRECT(ADDRESS(2,COLUMN())),OFFSET($BN$2,0,0,ROW()-1,60),ROW()-1,FALSE))</f>
        <v>3046.7179999999998</v>
      </c>
      <c r="Q9">
        <f ca="1">IF(AND(ISNUMBER($Q$44),$B$31=1),$Q$44,HLOOKUP(INDIRECT(ADDRESS(2,COLUMN())),OFFSET($BN$2,0,0,ROW()-1,60),ROW()-1,FALSE))</f>
        <v>3102.55</v>
      </c>
      <c r="R9">
        <f ca="1">IF(AND(ISNUMBER($R$44),$B$31=1),$R$44,HLOOKUP(INDIRECT(ADDRESS(2,COLUMN())),OFFSET($BN$2,0,0,ROW()-1,60),ROW()-1,FALSE))</f>
        <v>3071.5509999999999</v>
      </c>
      <c r="S9">
        <f ca="1">IF(AND(ISNUMBER($S$44),$B$31=1),$S$44,HLOOKUP(INDIRECT(ADDRESS(2,COLUMN())),OFFSET($BN$2,0,0,ROW()-1,60),ROW()-1,FALSE))</f>
        <v>2848.6979999999999</v>
      </c>
      <c r="T9">
        <f ca="1">IF(AND(ISNUMBER($T$44),$B$31=1),$T$44,HLOOKUP(INDIRECT(ADDRESS(2,COLUMN())),OFFSET($BN$2,0,0,ROW()-1,60),ROW()-1,FALSE))</f>
        <v>2765.36</v>
      </c>
      <c r="U9">
        <f ca="1">IF(AND(ISNUMBER($U$44),$B$31=1),$U$44,HLOOKUP(INDIRECT(ADDRESS(2,COLUMN())),OFFSET($BN$2,0,0,ROW()-1,60),ROW()-1,FALSE))</f>
        <v>2570.1030000000001</v>
      </c>
      <c r="V9">
        <f ca="1">IF(AND(ISNUMBER($V$44),$B$31=1),$V$44,HLOOKUP(INDIRECT(ADDRESS(2,COLUMN())),OFFSET($BN$2,0,0,ROW()-1,60),ROW()-1,FALSE))</f>
        <v>2505.0320000000002</v>
      </c>
      <c r="W9">
        <f ca="1">IF(AND(ISNUMBER($W$44),$B$31=1),$W$44,HLOOKUP(INDIRECT(ADDRESS(2,COLUMN())),OFFSET($BN$2,0,0,ROW()-1,60),ROW()-1,FALSE))</f>
        <v>2381.2240000000002</v>
      </c>
      <c r="X9">
        <f ca="1">IF(AND(ISNUMBER($X$44),$B$31=1),$X$44,HLOOKUP(INDIRECT(ADDRESS(2,COLUMN())),OFFSET($BN$2,0,0,ROW()-1,60),ROW()-1,FALSE))</f>
        <v>2268.8910000000001</v>
      </c>
      <c r="Y9">
        <f ca="1">IF(AND(ISNUMBER($Y$44),$B$31=1),$Y$44,HLOOKUP(INDIRECT(ADDRESS(2,COLUMN())),OFFSET($BN$2,0,0,ROW()-1,60),ROW()-1,FALSE))</f>
        <v>2105.0830000000001</v>
      </c>
      <c r="Z9">
        <f ca="1">IF(AND(ISNUMBER($Z$44),$B$31=1),$Z$44,HLOOKUP(INDIRECT(ADDRESS(2,COLUMN())),OFFSET($BN$2,0,0,ROW()-1,60),ROW()-1,FALSE))</f>
        <v>1814.4010000000001</v>
      </c>
      <c r="AA9">
        <f ca="1">IF(AND(ISNUMBER($AA$44),$B$31=1),$AA$44,HLOOKUP(INDIRECT(ADDRESS(2,COLUMN())),OFFSET($BN$2,0,0,ROW()-1,60),ROW()-1,FALSE))</f>
        <v>2416.181</v>
      </c>
      <c r="AB9">
        <f ca="1">IF(AND(ISNUMBER($AB$44),$B$31=1),$AB$44,HLOOKUP(INDIRECT(ADDRESS(2,COLUMN())),OFFSET($BN$2,0,0,ROW()-1,60),ROW()-1,FALSE))</f>
        <v>2537.4659999999999</v>
      </c>
      <c r="AC9">
        <f ca="1">IF(AND(ISNUMBER($AC$44),$B$31=1),$AC$44,HLOOKUP(INDIRECT(ADDRESS(2,COLUMN())),OFFSET($BN$2,0,0,ROW()-1,60),ROW()-1,FALSE))</f>
        <v>2532.4050000000002</v>
      </c>
      <c r="AD9">
        <f ca="1">IF(AND(ISNUMBER($AD$44),$B$31=1),$AD$44,HLOOKUP(INDIRECT(ADDRESS(2,COLUMN())),OFFSET($BN$2,0,0,ROW()-1,60),ROW()-1,FALSE))</f>
        <v>2547.4479999999999</v>
      </c>
      <c r="AE9">
        <f ca="1">IF(AND(ISNUMBER($AE$44),$B$31=1),$AE$44,HLOOKUP(INDIRECT(ADDRESS(2,COLUMN())),OFFSET($BN$2,0,0,ROW()-1,60),ROW()-1,FALSE))</f>
        <v>2540.2440000000001</v>
      </c>
      <c r="AF9">
        <f ca="1">IF(AND(ISNUMBER($AF$44),$B$31=1),$AF$44,HLOOKUP(INDIRECT(ADDRESS(2,COLUMN())),OFFSET($BN$2,0,0,ROW()-1,60),ROW()-1,FALSE))</f>
        <v>2537.415</v>
      </c>
      <c r="AG9">
        <f ca="1">IF(AND(ISNUMBER($AG$44),$B$31=1),$AG$44,HLOOKUP(INDIRECT(ADDRESS(2,COLUMN())),OFFSET($BN$2,0,0,ROW()-1,60),ROW()-1,FALSE))</f>
        <v>2535.5010000000002</v>
      </c>
      <c r="AH9">
        <f ca="1">IF(AND(ISNUMBER($AH$44),$B$31=1),$AH$44,HLOOKUP(INDIRECT(ADDRESS(2,COLUMN())),OFFSET($BN$2,0,0,ROW()-1,60),ROW()-1,FALSE))</f>
        <v>2562.172</v>
      </c>
      <c r="AI9">
        <f ca="1">IF(AND(ISNUMBER($AI$44),$B$31=1),$AI$44,HLOOKUP(INDIRECT(ADDRESS(2,COLUMN())),OFFSET($BN$2,0,0,ROW()-1,60),ROW()-1,FALSE))</f>
        <v>2517.268</v>
      </c>
      <c r="AJ9">
        <f ca="1">IF(AND(ISNUMBER($AJ$44),$B$31=1),$AJ$44,HLOOKUP(INDIRECT(ADDRESS(2,COLUMN())),OFFSET($BN$2,0,0,ROW()-1,60),ROW()-1,FALSE))</f>
        <v>2479.107</v>
      </c>
      <c r="AK9">
        <f ca="1">IF(AND(ISNUMBER($AK$44),$B$31=1),$AK$44,HLOOKUP(INDIRECT(ADDRESS(2,COLUMN())),OFFSET($BN$2,0,0,ROW()-1,60),ROW()-1,FALSE))</f>
        <v>2384.5239999999999</v>
      </c>
      <c r="AL9">
        <f ca="1">IF(AND(ISNUMBER($AL$44),$B$31=1),$AL$44,HLOOKUP(INDIRECT(ADDRESS(2,COLUMN())),OFFSET($BN$2,0,0,ROW()-1,60),ROW()-1,FALSE))</f>
        <v>2349.681</v>
      </c>
      <c r="AM9">
        <f ca="1">IF(AND(ISNUMBER($AM$44),$B$31=1),$AM$44,HLOOKUP(INDIRECT(ADDRESS(2,COLUMN())),OFFSET($BN$2,0,0,ROW()-1,60),ROW()-1,FALSE))</f>
        <v>2339.7280000000001</v>
      </c>
      <c r="AN9">
        <f ca="1">IF(AND(ISNUMBER($AN$44),$B$31=1),$AN$44,HLOOKUP(INDIRECT(ADDRESS(2,COLUMN())),OFFSET($BN$2,0,0,ROW()-1,60),ROW()-1,FALSE))</f>
        <v>2268.3389999999999</v>
      </c>
      <c r="AO9">
        <f ca="1">IF(AND(ISNUMBER($AO$44),$B$31=1),$AO$44,HLOOKUP(INDIRECT(ADDRESS(2,COLUMN())),OFFSET($BN$2,0,0,ROW()-1,60),ROW()-1,FALSE))</f>
        <v>2270</v>
      </c>
      <c r="AP9">
        <f ca="1">IF(AND(ISNUMBER($AP$44),$B$31=1),$AP$44,HLOOKUP(INDIRECT(ADDRESS(2,COLUMN())),OFFSET($BN$2,0,0,ROW()-1,60),ROW()-1,FALSE))</f>
        <v>2221.9360000000001</v>
      </c>
      <c r="AQ9">
        <f ca="1">IF(AND(ISNUMBER($AQ$44),$B$31=1),$AQ$44,HLOOKUP(INDIRECT(ADDRESS(2,COLUMN())),OFFSET($BN$2,0,0,ROW()-1,60),ROW()-1,FALSE))</f>
        <v>2181.9569999999999</v>
      </c>
      <c r="AR9">
        <f ca="1">IF(AND(ISNUMBER($AR$44),$B$31=1),$AR$44,HLOOKUP(INDIRECT(ADDRESS(2,COLUMN())),OFFSET($BN$2,0,0,ROW()-1,60),ROW()-1,FALSE))</f>
        <v>2222.279</v>
      </c>
      <c r="AS9">
        <f ca="1">IF(AND(ISNUMBER($AS$44),$B$31=1),$AS$44,HLOOKUP(INDIRECT(ADDRESS(2,COLUMN())),OFFSET($BN$2,0,0,ROW()-1,60),ROW()-1,FALSE))</f>
        <v>2260.7240000000002</v>
      </c>
      <c r="AT9">
        <f ca="1">IF(AND(ISNUMBER($AT$44),$B$31=1),$AT$44,HLOOKUP(INDIRECT(ADDRESS(2,COLUMN())),OFFSET($BN$2,0,0,ROW()-1,60),ROW()-1,FALSE))</f>
        <v>2300.4409999999998</v>
      </c>
      <c r="AU9">
        <f ca="1">IF(AND(ISNUMBER($AU$44),$B$31=1),$AU$44,HLOOKUP(INDIRECT(ADDRESS(2,COLUMN())),OFFSET($BN$2,0,0,ROW()-1,60),ROW()-1,FALSE))</f>
        <v>2299.0450000000001</v>
      </c>
      <c r="AV9">
        <f ca="1">IF(AND(ISNUMBER($AV$44),$B$31=1),$AV$44,HLOOKUP(INDIRECT(ADDRESS(2,COLUMN())),OFFSET($BN$2,0,0,ROW()-1,60),ROW()-1,FALSE))</f>
        <v>2376.2179999999998</v>
      </c>
      <c r="AW9">
        <f ca="1">IF(AND(ISNUMBER($AW$44),$B$31=1),$AW$44,HLOOKUP(INDIRECT(ADDRESS(2,COLUMN())),OFFSET($BN$2,0,0,ROW()-1,60),ROW()-1,FALSE))</f>
        <v>2399.1909999999998</v>
      </c>
      <c r="AX9">
        <f ca="1">IF(AND(ISNUMBER($AX$44),$B$31=1),$AX$44,HLOOKUP(INDIRECT(ADDRESS(2,COLUMN())),OFFSET($BN$2,0,0,ROW()-1,60),ROW()-1,FALSE))</f>
        <v>2395.1680000000001</v>
      </c>
      <c r="AY9">
        <f ca="1">IF(AND(ISNUMBER($AY$44),$B$31=1),$AY$44,HLOOKUP(INDIRECT(ADDRESS(2,COLUMN())),OFFSET($BN$2,0,0,ROW()-1,60),ROW()-1,FALSE))</f>
        <v>2343.6019999999999</v>
      </c>
      <c r="AZ9">
        <f ca="1">IF(AND(ISNUMBER($AZ$44),$B$31=1),$AZ$44,HLOOKUP(INDIRECT(ADDRESS(2,COLUMN())),OFFSET($BN$2,0,0,ROW()-1,60),ROW()-1,FALSE))</f>
        <v>2349.2399999999998</v>
      </c>
      <c r="BA9">
        <f ca="1">IF(AND(ISNUMBER($BA$44),$B$31=1),$BA$44,HLOOKUP(INDIRECT(ADDRESS(2,COLUMN())),OFFSET($BN$2,0,0,ROW()-1,60),ROW()-1,FALSE))</f>
        <v>2285.116</v>
      </c>
      <c r="BB9">
        <f ca="1">IF(AND(ISNUMBER($BB$44),$B$31=1),$BB$44,HLOOKUP(INDIRECT(ADDRESS(2,COLUMN())),OFFSET($BN$2,0,0,ROW()-1,60),ROW()-1,FALSE))</f>
        <v>2261.4029999999998</v>
      </c>
      <c r="BC9">
        <f ca="1">IF(AND(ISNUMBER($BC$44),$B$31=1),$BC$44,HLOOKUP(INDIRECT(ADDRESS(2,COLUMN())),OFFSET($BN$2,0,0,ROW()-1,60),ROW()-1,FALSE))</f>
        <v>2255.9290000000001</v>
      </c>
      <c r="BD9">
        <f ca="1">IF(AND(ISNUMBER($BD$44),$B$31=1),$BD$44,HLOOKUP(INDIRECT(ADDRESS(2,COLUMN())),OFFSET($BN$2,0,0,ROW()-1,60),ROW()-1,FALSE))</f>
        <v>2237.498</v>
      </c>
      <c r="BE9">
        <f ca="1">IF(AND(ISNUMBER($BE$44),$B$31=1),$BE$44,HLOOKUP(INDIRECT(ADDRESS(2,COLUMN())),OFFSET($BN$2,0,0,ROW()-1,60),ROW()-1,FALSE))</f>
        <v>2227.7339999999999</v>
      </c>
      <c r="BF9">
        <f ca="1">IF(AND(ISNUMBER($BF$44),$B$31=1),$BF$44,HLOOKUP(INDIRECT(ADDRESS(2,COLUMN())),OFFSET($BN$2,0,0,ROW()-1,60),ROW()-1,FALSE))</f>
        <v>2215.5859999999998</v>
      </c>
      <c r="BG9">
        <f ca="1">IF(AND(ISNUMBER($BG$44),$B$31=1),$BG$44,HLOOKUP(INDIRECT(ADDRESS(2,COLUMN())),OFFSET($BN$2,0,0,ROW()-1,60),ROW()-1,FALSE))</f>
        <v>2189.9810000000002</v>
      </c>
      <c r="BH9">
        <f ca="1">IF(AND(ISNUMBER($BH$44),$B$31=1),$BH$44,HLOOKUP(INDIRECT(ADDRESS(2,COLUMN())),OFFSET($BN$2,0,0,ROW()-1,60),ROW()-1,FALSE))</f>
        <v>2150.123</v>
      </c>
      <c r="BI9">
        <f ca="1">IF(AND(ISNUMBER($BI$44),$B$31=1),$BI$44,HLOOKUP(INDIRECT(ADDRESS(2,COLUMN())),OFFSET($BN$2,0,0,ROW()-1,60),ROW()-1,FALSE))</f>
        <v>2156.7930000000001</v>
      </c>
      <c r="BJ9">
        <f ca="1">IF(AND(ISNUMBER($BJ$44),$B$31=1),$BJ$44,HLOOKUP(INDIRECT(ADDRESS(2,COLUMN())),OFFSET($BN$2,0,0,ROW()-1,60),ROW()-1,FALSE))</f>
        <v>2116.1320000000001</v>
      </c>
      <c r="BK9">
        <f ca="1">IF(AND(ISNUMBER($BK$44),$B$31=1),$BK$44,HLOOKUP(INDIRECT(ADDRESS(2,COLUMN())),OFFSET($BN$2,0,0,ROW()-1,60),ROW()-1,FALSE))</f>
        <v>2040.4069999999999</v>
      </c>
      <c r="BL9">
        <f ca="1">IF(AND(ISNUMBER($BL$44),$B$31=1),$BL$44,HLOOKUP(INDIRECT(ADDRESS(2,COLUMN())),OFFSET($BN$2,0,0,ROW()-1,60),ROW()-1,FALSE))</f>
        <v>1972.116</v>
      </c>
      <c r="BM9">
        <f ca="1">IF(AND(ISNUMBER($BM$44),$B$31=1),$BM$44,HLOOKUP(INDIRECT(ADDRESS(2,COLUMN())),OFFSET($BN$2,0,0,ROW()-1,60),ROW()-1,FALSE))</f>
        <v>1877.2529999999999</v>
      </c>
      <c r="BN9">
        <f>3241.946</f>
        <v>3241.9459999999999</v>
      </c>
      <c r="BO9">
        <f>3266.413</f>
        <v>3266.413</v>
      </c>
      <c r="BP9">
        <f>3220.929</f>
        <v>3220.9290000000001</v>
      </c>
      <c r="BQ9">
        <f>3220.292</f>
        <v>3220.2919999999999</v>
      </c>
      <c r="BR9">
        <f>3154.321</f>
        <v>3154.3209999999999</v>
      </c>
      <c r="BS9">
        <f>3125.421</f>
        <v>3125.4209999999998</v>
      </c>
      <c r="BT9">
        <f>3091.748</f>
        <v>3091.748</v>
      </c>
      <c r="BU9">
        <f>3062.041</f>
        <v>3062.0410000000002</v>
      </c>
      <c r="BV9">
        <f>2995.524</f>
        <v>2995.5239999999999</v>
      </c>
      <c r="BW9">
        <f>3060.562</f>
        <v>3060.5619999999999</v>
      </c>
      <c r="BX9">
        <f>3046.718</f>
        <v>3046.7179999999998</v>
      </c>
      <c r="BY9">
        <f>3102.55</f>
        <v>3102.55</v>
      </c>
      <c r="BZ9">
        <f>3071.551</f>
        <v>3071.5509999999999</v>
      </c>
      <c r="CA9">
        <f>2848.698</f>
        <v>2848.6979999999999</v>
      </c>
      <c r="CB9">
        <f>2765.36</f>
        <v>2765.36</v>
      </c>
      <c r="CC9">
        <f>2570.103</f>
        <v>2570.1030000000001</v>
      </c>
      <c r="CD9">
        <f>2505.032</f>
        <v>2505.0320000000002</v>
      </c>
      <c r="CE9">
        <f>2381.224</f>
        <v>2381.2240000000002</v>
      </c>
      <c r="CF9">
        <f>2268.891</f>
        <v>2268.8910000000001</v>
      </c>
      <c r="CG9">
        <f>2105.083</f>
        <v>2105.0830000000001</v>
      </c>
      <c r="CH9">
        <f>1814.401</f>
        <v>1814.4010000000001</v>
      </c>
      <c r="CI9">
        <f>2416.181</f>
        <v>2416.181</v>
      </c>
      <c r="CJ9">
        <f>2537.466</f>
        <v>2537.4659999999999</v>
      </c>
      <c r="CK9">
        <f>2532.405</f>
        <v>2532.4050000000002</v>
      </c>
      <c r="CL9">
        <f>2547.448</f>
        <v>2547.4479999999999</v>
      </c>
      <c r="CM9">
        <f>2540.244</f>
        <v>2540.2440000000001</v>
      </c>
      <c r="CN9">
        <f>2537.415</f>
        <v>2537.415</v>
      </c>
      <c r="CO9">
        <f>2535.501</f>
        <v>2535.5010000000002</v>
      </c>
      <c r="CP9">
        <f>2562.172</f>
        <v>2562.172</v>
      </c>
      <c r="CQ9">
        <f>2517.268</f>
        <v>2517.268</v>
      </c>
      <c r="CR9">
        <f>2479.107</f>
        <v>2479.107</v>
      </c>
      <c r="CS9">
        <f>2384.524</f>
        <v>2384.5239999999999</v>
      </c>
      <c r="CT9">
        <f>2349.681</f>
        <v>2349.681</v>
      </c>
      <c r="CU9">
        <f>2339.728</f>
        <v>2339.7280000000001</v>
      </c>
      <c r="CV9">
        <f>2268.339</f>
        <v>2268.3389999999999</v>
      </c>
      <c r="CW9">
        <f>2270</f>
        <v>2270</v>
      </c>
      <c r="CX9">
        <f>2221.936</f>
        <v>2221.9360000000001</v>
      </c>
      <c r="CY9">
        <f>2181.957</f>
        <v>2181.9569999999999</v>
      </c>
      <c r="CZ9">
        <f>2222.279</f>
        <v>2222.279</v>
      </c>
      <c r="DA9">
        <f>2260.724</f>
        <v>2260.7240000000002</v>
      </c>
      <c r="DB9">
        <f>2300.441</f>
        <v>2300.4409999999998</v>
      </c>
      <c r="DC9">
        <f>2299.045</f>
        <v>2299.0450000000001</v>
      </c>
      <c r="DD9">
        <f>2376.218</f>
        <v>2376.2179999999998</v>
      </c>
      <c r="DE9">
        <f>2399.191</f>
        <v>2399.1909999999998</v>
      </c>
      <c r="DF9">
        <f>2395.168</f>
        <v>2395.1680000000001</v>
      </c>
      <c r="DG9">
        <f>2343.602</f>
        <v>2343.6019999999999</v>
      </c>
      <c r="DH9">
        <f>2349.24</f>
        <v>2349.2399999999998</v>
      </c>
      <c r="DI9">
        <f>2285.116</f>
        <v>2285.116</v>
      </c>
      <c r="DJ9">
        <f>2261.403</f>
        <v>2261.4029999999998</v>
      </c>
      <c r="DK9">
        <f>2255.929</f>
        <v>2255.9290000000001</v>
      </c>
      <c r="DL9">
        <f>2237.498</f>
        <v>2237.498</v>
      </c>
      <c r="DM9">
        <f>2227.734</f>
        <v>2227.7339999999999</v>
      </c>
      <c r="DN9">
        <f>2215.586</f>
        <v>2215.5859999999998</v>
      </c>
      <c r="DO9">
        <f>2189.981</f>
        <v>2189.9810000000002</v>
      </c>
      <c r="DP9">
        <f>2150.123</f>
        <v>2150.123</v>
      </c>
      <c r="DQ9">
        <f>2156.793</f>
        <v>2156.7930000000001</v>
      </c>
      <c r="DR9">
        <f>2116.132</f>
        <v>2116.1320000000001</v>
      </c>
      <c r="DS9">
        <f>2040.407</f>
        <v>2040.4069999999999</v>
      </c>
      <c r="DT9">
        <f>1972.116</f>
        <v>1972.116</v>
      </c>
      <c r="DU9">
        <f>1877.253</f>
        <v>1877.2529999999999</v>
      </c>
    </row>
    <row r="10" spans="1:125" x14ac:dyDescent="0.25">
      <c r="A10" t="str">
        <f>"        Imports"</f>
        <v xml:space="preserve">        Imports</v>
      </c>
      <c r="B10" t="str">
        <f>"GDP$IMP Index"</f>
        <v>GDP$IMP Index</v>
      </c>
      <c r="C10" t="str">
        <f t="shared" si="0"/>
        <v>PR005</v>
      </c>
      <c r="D10" t="str">
        <f t="shared" si="1"/>
        <v>PX_LAST</v>
      </c>
      <c r="E10" t="str">
        <f t="shared" si="2"/>
        <v>Dynamic</v>
      </c>
      <c r="F10">
        <f ca="1">IF(AND(ISNUMBER($F$45),$B$31=1),$F$45,HLOOKUP(INDIRECT(ADDRESS(2,COLUMN())),OFFSET($BN$2,0,0,ROW()-1,60),ROW()-1,FALSE))</f>
        <v>4114.33</v>
      </c>
      <c r="G10">
        <f ca="1">IF(AND(ISNUMBER($G$45),$B$31=1),$G$45,HLOOKUP(INDIRECT(ADDRESS(2,COLUMN())),OFFSET($BN$2,0,0,ROW()-1,60),ROW()-1,FALSE))</f>
        <v>4511.5540000000001</v>
      </c>
      <c r="H10">
        <f ca="1">IF(AND(ISNUMBER($H$45),$B$31=1),$H$45,HLOOKUP(INDIRECT(ADDRESS(2,COLUMN())),OFFSET($BN$2,0,0,ROW()-1,60),ROW()-1,FALSE))</f>
        <v>4141.0129999999999</v>
      </c>
      <c r="I10">
        <f ca="1">IF(AND(ISNUMBER($I$45),$B$31=1),$I$45,HLOOKUP(INDIRECT(ADDRESS(2,COLUMN())),OFFSET($BN$2,0,0,ROW()-1,60),ROW()-1,FALSE))</f>
        <v>4163.9750000000004</v>
      </c>
      <c r="J10">
        <f ca="1">IF(AND(ISNUMBER($J$45),$B$31=1),$J$45,HLOOKUP(INDIRECT(ADDRESS(2,COLUMN())),OFFSET($BN$2,0,0,ROW()-1,60),ROW()-1,FALSE))</f>
        <v>4061.192</v>
      </c>
      <c r="K10">
        <f ca="1">IF(AND(ISNUMBER($K$45),$B$31=1),$K$45,HLOOKUP(INDIRECT(ADDRESS(2,COLUMN())),OFFSET($BN$2,0,0,ROW()-1,60),ROW()-1,FALSE))</f>
        <v>3966.989</v>
      </c>
      <c r="L10">
        <f ca="1">IF(AND(ISNUMBER($L$45),$B$31=1),$L$45,HLOOKUP(INDIRECT(ADDRESS(2,COLUMN())),OFFSET($BN$2,0,0,ROW()-1,60),ROW()-1,FALSE))</f>
        <v>3882.8989999999999</v>
      </c>
      <c r="M10">
        <f ca="1">IF(AND(ISNUMBER($M$45),$B$31=1),$M$45,HLOOKUP(INDIRECT(ADDRESS(2,COLUMN())),OFFSET($BN$2,0,0,ROW()-1,60),ROW()-1,FALSE))</f>
        <v>3843.1320000000001</v>
      </c>
      <c r="N10">
        <f ca="1">IF(AND(ISNUMBER($N$45),$B$31=1),$N$45,HLOOKUP(INDIRECT(ADDRESS(2,COLUMN())),OFFSET($BN$2,0,0,ROW()-1,60),ROW()-1,FALSE))</f>
        <v>3799.0030000000002</v>
      </c>
      <c r="O10">
        <f ca="1">IF(AND(ISNUMBER($O$45),$B$31=1),$O$45,HLOOKUP(INDIRECT(ADDRESS(2,COLUMN())),OFFSET($BN$2,0,0,ROW()-1,60),ROW()-1,FALSE))</f>
        <v>3874.21</v>
      </c>
      <c r="P10">
        <f ca="1">IF(AND(ISNUMBER($P$45),$B$31=1),$P$45,HLOOKUP(INDIRECT(ADDRESS(2,COLUMN())),OFFSET($BN$2,0,0,ROW()-1,60),ROW()-1,FALSE))</f>
        <v>3897.402</v>
      </c>
      <c r="Q10">
        <f ca="1">IF(AND(ISNUMBER($Q$45),$B$31=1),$Q$45,HLOOKUP(INDIRECT(ADDRESS(2,COLUMN())),OFFSET($BN$2,0,0,ROW()-1,60),ROW()-1,FALSE))</f>
        <v>3988.4470000000001</v>
      </c>
      <c r="R10">
        <f ca="1">IF(AND(ISNUMBER($R$45),$B$31=1),$R$45,HLOOKUP(INDIRECT(ADDRESS(2,COLUMN())),OFFSET($BN$2,0,0,ROW()-1,60),ROW()-1,FALSE))</f>
        <v>4093.663</v>
      </c>
      <c r="S10">
        <f ca="1">IF(AND(ISNUMBER($S$45),$B$31=1),$S$45,HLOOKUP(INDIRECT(ADDRESS(2,COLUMN())),OFFSET($BN$2,0,0,ROW()-1,60),ROW()-1,FALSE))</f>
        <v>3925.7420000000002</v>
      </c>
      <c r="T10">
        <f ca="1">IF(AND(ISNUMBER($T$45),$B$31=1),$T$45,HLOOKUP(INDIRECT(ADDRESS(2,COLUMN())),OFFSET($BN$2,0,0,ROW()-1,60),ROW()-1,FALSE))</f>
        <v>3685.9560000000001</v>
      </c>
      <c r="U10">
        <f ca="1">IF(AND(ISNUMBER($U$45),$B$31=1),$U$45,HLOOKUP(INDIRECT(ADDRESS(2,COLUMN())),OFFSET($BN$2,0,0,ROW()-1,60),ROW()-1,FALSE))</f>
        <v>3458.7829999999999</v>
      </c>
      <c r="V10">
        <f ca="1">IF(AND(ISNUMBER($V$45),$B$31=1),$V$45,HLOOKUP(INDIRECT(ADDRESS(2,COLUMN())),OFFSET($BN$2,0,0,ROW()-1,60),ROW()-1,FALSE))</f>
        <v>3340.114</v>
      </c>
      <c r="W10">
        <f ca="1">IF(AND(ISNUMBER($W$45),$B$31=1),$W$45,HLOOKUP(INDIRECT(ADDRESS(2,COLUMN())),OFFSET($BN$2,0,0,ROW()-1,60),ROW()-1,FALSE))</f>
        <v>3176.982</v>
      </c>
      <c r="X10">
        <f ca="1">IF(AND(ISNUMBER($X$45),$B$31=1),$X$45,HLOOKUP(INDIRECT(ADDRESS(2,COLUMN())),OFFSET($BN$2,0,0,ROW()-1,60),ROW()-1,FALSE))</f>
        <v>3027.1990000000001</v>
      </c>
      <c r="Y10">
        <f ca="1">IF(AND(ISNUMBER($Y$45),$B$31=1),$Y$45,HLOOKUP(INDIRECT(ADDRESS(2,COLUMN())),OFFSET($BN$2,0,0,ROW()-1,60),ROW()-1,FALSE))</f>
        <v>2801.482</v>
      </c>
      <c r="Z10">
        <f ca="1">IF(AND(ISNUMBER($Z$45),$B$31=1),$Z$45,HLOOKUP(INDIRECT(ADDRESS(2,COLUMN())),OFFSET($BN$2,0,0,ROW()-1,60),ROW()-1,FALSE))</f>
        <v>2350.9259999999999</v>
      </c>
      <c r="AA10">
        <f ca="1">IF(AND(ISNUMBER($AA$45),$B$31=1),$AA$45,HLOOKUP(INDIRECT(ADDRESS(2,COLUMN())),OFFSET($BN$2,0,0,ROW()-1,60),ROW()-1,FALSE))</f>
        <v>2929.759</v>
      </c>
      <c r="AB10">
        <f ca="1">IF(AND(ISNUMBER($AB$45),$B$31=1),$AB$45,HLOOKUP(INDIRECT(ADDRESS(2,COLUMN())),OFFSET($BN$2,0,0,ROW()-1,60),ROW()-1,FALSE))</f>
        <v>3050.8240000000001</v>
      </c>
      <c r="AC10">
        <f ca="1">IF(AND(ISNUMBER($AC$45),$B$31=1),$AC$45,HLOOKUP(INDIRECT(ADDRESS(2,COLUMN())),OFFSET($BN$2,0,0,ROW()-1,60),ROW()-1,FALSE))</f>
        <v>3117.9520000000002</v>
      </c>
      <c r="AD10">
        <f ca="1">IF(AND(ISNUMBER($AD$45),$B$31=1),$AD$45,HLOOKUP(INDIRECT(ADDRESS(2,COLUMN())),OFFSET($BN$2,0,0,ROW()-1,60),ROW()-1,FALSE))</f>
        <v>3165.41</v>
      </c>
      <c r="AE10">
        <f ca="1">IF(AND(ISNUMBER($AE$45),$B$31=1),$AE$45,HLOOKUP(INDIRECT(ADDRESS(2,COLUMN())),OFFSET($BN$2,0,0,ROW()-1,60),ROW()-1,FALSE))</f>
        <v>3132.5390000000002</v>
      </c>
      <c r="AF10">
        <f ca="1">IF(AND(ISNUMBER($AF$45),$B$31=1),$AF$45,HLOOKUP(INDIRECT(ADDRESS(2,COLUMN())),OFFSET($BN$2,0,0,ROW()-1,60),ROW()-1,FALSE))</f>
        <v>3171.6219999999998</v>
      </c>
      <c r="AG10">
        <f ca="1">IF(AND(ISNUMBER($AG$45),$B$31=1),$AG$45,HLOOKUP(INDIRECT(ADDRESS(2,COLUMN())),OFFSET($BN$2,0,0,ROW()-1,60),ROW()-1,FALSE))</f>
        <v>3153.7469999999998</v>
      </c>
      <c r="AH10">
        <f ca="1">IF(AND(ISNUMBER($AH$45),$B$31=1),$AH$45,HLOOKUP(INDIRECT(ADDRESS(2,COLUMN())),OFFSET($BN$2,0,0,ROW()-1,60),ROW()-1,FALSE))</f>
        <v>3105.9949999999999</v>
      </c>
      <c r="AI10">
        <f ca="1">IF(AND(ISNUMBER($AI$45),$B$31=1),$AI$45,HLOOKUP(INDIRECT(ADDRESS(2,COLUMN())),OFFSET($BN$2,0,0,ROW()-1,60),ROW()-1,FALSE))</f>
        <v>3093.299</v>
      </c>
      <c r="AJ10">
        <f ca="1">IF(AND(ISNUMBER($AJ$45),$B$31=1),$AJ$45,HLOOKUP(INDIRECT(ADDRESS(2,COLUMN())),OFFSET($BN$2,0,0,ROW()-1,60),ROW()-1,FALSE))</f>
        <v>3034.0039999999999</v>
      </c>
      <c r="AK10">
        <f ca="1">IF(AND(ISNUMBER($AK$45),$B$31=1),$AK$45,HLOOKUP(INDIRECT(ADDRESS(2,COLUMN())),OFFSET($BN$2,0,0,ROW()-1,60),ROW()-1,FALSE))</f>
        <v>2916.0219999999999</v>
      </c>
      <c r="AL10">
        <f ca="1">IF(AND(ISNUMBER($AL$45),$B$31=1),$AL$45,HLOOKUP(INDIRECT(ADDRESS(2,COLUMN())),OFFSET($BN$2,0,0,ROW()-1,60),ROW()-1,FALSE))</f>
        <v>2903.18</v>
      </c>
      <c r="AM10">
        <f ca="1">IF(AND(ISNUMBER($AM$45),$B$31=1),$AM$45,HLOOKUP(INDIRECT(ADDRESS(2,COLUMN())),OFFSET($BN$2,0,0,ROW()-1,60),ROW()-1,FALSE))</f>
        <v>2873.1480000000001</v>
      </c>
      <c r="AN10">
        <f ca="1">IF(AND(ISNUMBER($AN$45),$B$31=1),$AN$45,HLOOKUP(INDIRECT(ADDRESS(2,COLUMN())),OFFSET($BN$2,0,0,ROW()-1,60),ROW()-1,FALSE))</f>
        <v>2799.145</v>
      </c>
      <c r="AO10">
        <f ca="1">IF(AND(ISNUMBER($AO$45),$B$31=1),$AO$45,HLOOKUP(INDIRECT(ADDRESS(2,COLUMN())),OFFSET($BN$2,0,0,ROW()-1,60),ROW()-1,FALSE))</f>
        <v>2751.2289999999998</v>
      </c>
      <c r="AP10">
        <f ca="1">IF(AND(ISNUMBER($AP$45),$B$31=1),$AP$45,HLOOKUP(INDIRECT(ADDRESS(2,COLUMN())),OFFSET($BN$2,0,0,ROW()-1,60),ROW()-1,FALSE))</f>
        <v>2711.306</v>
      </c>
      <c r="AQ10">
        <f ca="1">IF(AND(ISNUMBER($AQ$45),$B$31=1),$AQ$45,HLOOKUP(INDIRECT(ADDRESS(2,COLUMN())),OFFSET($BN$2,0,0,ROW()-1,60),ROW()-1,FALSE))</f>
        <v>2693.6390000000001</v>
      </c>
      <c r="AR10">
        <f ca="1">IF(AND(ISNUMBER($AR$45),$B$31=1),$AR$45,HLOOKUP(INDIRECT(ADDRESS(2,COLUMN())),OFFSET($BN$2,0,0,ROW()-1,60),ROW()-1,FALSE))</f>
        <v>2745.5169999999998</v>
      </c>
      <c r="AS10">
        <f ca="1">IF(AND(ISNUMBER($AS$45),$B$31=1),$AS$45,HLOOKUP(INDIRECT(ADDRESS(2,COLUMN())),OFFSET($BN$2,0,0,ROW()-1,60),ROW()-1,FALSE))</f>
        <v>2798.806</v>
      </c>
      <c r="AT10">
        <f ca="1">IF(AND(ISNUMBER($AT$45),$B$31=1),$AT$45,HLOOKUP(INDIRECT(ADDRESS(2,COLUMN())),OFFSET($BN$2,0,0,ROW()-1,60),ROW()-1,FALSE))</f>
        <v>2809.9679999999998</v>
      </c>
      <c r="AU10">
        <f ca="1">IF(AND(ISNUMBER($AU$45),$B$31=1),$AU$45,HLOOKUP(INDIRECT(ADDRESS(2,COLUMN())),OFFSET($BN$2,0,0,ROW()-1,60),ROW()-1,FALSE))</f>
        <v>2825.4760000000001</v>
      </c>
      <c r="AV10">
        <f ca="1">IF(AND(ISNUMBER($AV$45),$B$31=1),$AV$45,HLOOKUP(INDIRECT(ADDRESS(2,COLUMN())),OFFSET($BN$2,0,0,ROW()-1,60),ROW()-1,FALSE))</f>
        <v>2906.9690000000001</v>
      </c>
      <c r="AW10">
        <f ca="1">IF(AND(ISNUMBER($AW$45),$B$31=1),$AW$45,HLOOKUP(INDIRECT(ADDRESS(2,COLUMN())),OFFSET($BN$2,0,0,ROW()-1,60),ROW()-1,FALSE))</f>
        <v>2888.549</v>
      </c>
      <c r="AX10">
        <f ca="1">IF(AND(ISNUMBER($AX$45),$B$31=1),$AX$45,HLOOKUP(INDIRECT(ADDRESS(2,COLUMN())),OFFSET($BN$2,0,0,ROW()-1,60),ROW()-1,FALSE))</f>
        <v>2900.5720000000001</v>
      </c>
      <c r="AY10">
        <f ca="1">IF(AND(ISNUMBER($AY$45),$B$31=1),$AY$45,HLOOKUP(INDIRECT(ADDRESS(2,COLUMN())),OFFSET($BN$2,0,0,ROW()-1,60),ROW()-1,FALSE))</f>
        <v>2853.69</v>
      </c>
      <c r="AZ10">
        <f ca="1">IF(AND(ISNUMBER($AZ$45),$B$31=1),$AZ$45,HLOOKUP(INDIRECT(ADDRESS(2,COLUMN())),OFFSET($BN$2,0,0,ROW()-1,60),ROW()-1,FALSE))</f>
        <v>2783.259</v>
      </c>
      <c r="BA10">
        <f ca="1">IF(AND(ISNUMBER($BA$45),$B$31=1),$BA$45,HLOOKUP(INDIRECT(ADDRESS(2,COLUMN())),OFFSET($BN$2,0,0,ROW()-1,60),ROW()-1,FALSE))</f>
        <v>2767.183</v>
      </c>
      <c r="BB10">
        <f ca="1">IF(AND(ISNUMBER($BB$45),$B$31=1),$BB$45,HLOOKUP(INDIRECT(ADDRESS(2,COLUMN())),OFFSET($BN$2,0,0,ROW()-1,60),ROW()-1,FALSE))</f>
        <v>2759.7829999999999</v>
      </c>
      <c r="BC10">
        <f ca="1">IF(AND(ISNUMBER($BC$45),$B$31=1),$BC$45,HLOOKUP(INDIRECT(ADDRESS(2,COLUMN())),OFFSET($BN$2,0,0,ROW()-1,60),ROW()-1,FALSE))</f>
        <v>2755.277</v>
      </c>
      <c r="BD10">
        <f ca="1">IF(AND(ISNUMBER($BD$45),$B$31=1),$BD$45,HLOOKUP(INDIRECT(ADDRESS(2,COLUMN())),OFFSET($BN$2,0,0,ROW()-1,60),ROW()-1,FALSE))</f>
        <v>2753.373</v>
      </c>
      <c r="BE10">
        <f ca="1">IF(AND(ISNUMBER($BE$45),$B$31=1),$BE$45,HLOOKUP(INDIRECT(ADDRESS(2,COLUMN())),OFFSET($BN$2,0,0,ROW()-1,60),ROW()-1,FALSE))</f>
        <v>2750.817</v>
      </c>
      <c r="BF10">
        <f ca="1">IF(AND(ISNUMBER($BF$45),$B$31=1),$BF$45,HLOOKUP(INDIRECT(ADDRESS(2,COLUMN())),OFFSET($BN$2,0,0,ROW()-1,60),ROW()-1,FALSE))</f>
        <v>2780.8270000000002</v>
      </c>
      <c r="BG10">
        <f ca="1">IF(AND(ISNUMBER($BG$45),$B$31=1),$BG$45,HLOOKUP(INDIRECT(ADDRESS(2,COLUMN())),OFFSET($BN$2,0,0,ROW()-1,60),ROW()-1,FALSE))</f>
        <v>2792.2530000000002</v>
      </c>
      <c r="BH10">
        <f ca="1">IF(AND(ISNUMBER($BH$45),$B$31=1),$BH$45,HLOOKUP(INDIRECT(ADDRESS(2,COLUMN())),OFFSET($BN$2,0,0,ROW()-1,60),ROW()-1,FALSE))</f>
        <v>2751.9110000000001</v>
      </c>
      <c r="BI10">
        <f ca="1">IF(AND(ISNUMBER($BI$45),$B$31=1),$BI$45,HLOOKUP(INDIRECT(ADDRESS(2,COLUMN())),OFFSET($BN$2,0,0,ROW()-1,60),ROW()-1,FALSE))</f>
        <v>2723.9029999999998</v>
      </c>
      <c r="BJ10">
        <f ca="1">IF(AND(ISNUMBER($BJ$45),$B$31=1),$BJ$45,HLOOKUP(INDIRECT(ADDRESS(2,COLUMN())),OFFSET($BN$2,0,0,ROW()-1,60),ROW()-1,FALSE))</f>
        <v>2697.2240000000002</v>
      </c>
      <c r="BK10">
        <f ca="1">IF(AND(ISNUMBER($BK$45),$B$31=1),$BK$45,HLOOKUP(INDIRECT(ADDRESS(2,COLUMN())),OFFSET($BN$2,0,0,ROW()-1,60),ROW()-1,FALSE))</f>
        <v>2608.884</v>
      </c>
      <c r="BL10">
        <f ca="1">IF(AND(ISNUMBER($BL$45),$B$31=1),$BL$45,HLOOKUP(INDIRECT(ADDRESS(2,COLUMN())),OFFSET($BN$2,0,0,ROW()-1,60),ROW()-1,FALSE))</f>
        <v>2495.7020000000002</v>
      </c>
      <c r="BM10">
        <f ca="1">IF(AND(ISNUMBER($BM$45),$B$31=1),$BM$45,HLOOKUP(INDIRECT(ADDRESS(2,COLUMN())),OFFSET($BN$2,0,0,ROW()-1,60),ROW()-1,FALSE))</f>
        <v>2431.1950000000002</v>
      </c>
      <c r="BN10">
        <f>4114.33</f>
        <v>4114.33</v>
      </c>
      <c r="BO10">
        <f>4511.554</f>
        <v>4511.5540000000001</v>
      </c>
      <c r="BP10">
        <f>4141.013</f>
        <v>4141.0129999999999</v>
      </c>
      <c r="BQ10">
        <f>4163.975</f>
        <v>4163.9750000000004</v>
      </c>
      <c r="BR10">
        <f>4061.192</f>
        <v>4061.192</v>
      </c>
      <c r="BS10">
        <f>3966.989</f>
        <v>3966.989</v>
      </c>
      <c r="BT10">
        <f>3882.899</f>
        <v>3882.8989999999999</v>
      </c>
      <c r="BU10">
        <f>3843.132</f>
        <v>3843.1320000000001</v>
      </c>
      <c r="BV10">
        <f>3799.003</f>
        <v>3799.0030000000002</v>
      </c>
      <c r="BW10">
        <f>3874.21</f>
        <v>3874.21</v>
      </c>
      <c r="BX10">
        <f>3897.402</f>
        <v>3897.402</v>
      </c>
      <c r="BY10">
        <f>3988.447</f>
        <v>3988.4470000000001</v>
      </c>
      <c r="BZ10">
        <f>4093.663</f>
        <v>4093.663</v>
      </c>
      <c r="CA10">
        <f>3925.742</f>
        <v>3925.7420000000002</v>
      </c>
      <c r="CB10">
        <f>3685.956</f>
        <v>3685.9560000000001</v>
      </c>
      <c r="CC10">
        <f>3458.783</f>
        <v>3458.7829999999999</v>
      </c>
      <c r="CD10">
        <f>3340.114</f>
        <v>3340.114</v>
      </c>
      <c r="CE10">
        <f>3176.982</f>
        <v>3176.982</v>
      </c>
      <c r="CF10">
        <f>3027.199</f>
        <v>3027.1990000000001</v>
      </c>
      <c r="CG10">
        <f>2801.482</f>
        <v>2801.482</v>
      </c>
      <c r="CH10">
        <f>2350.926</f>
        <v>2350.9259999999999</v>
      </c>
      <c r="CI10">
        <f>2929.759</f>
        <v>2929.759</v>
      </c>
      <c r="CJ10">
        <f>3050.824</f>
        <v>3050.8240000000001</v>
      </c>
      <c r="CK10">
        <f>3117.952</f>
        <v>3117.9520000000002</v>
      </c>
      <c r="CL10">
        <f>3165.41</f>
        <v>3165.41</v>
      </c>
      <c r="CM10">
        <f>3132.539</f>
        <v>3132.5390000000002</v>
      </c>
      <c r="CN10">
        <f>3171.622</f>
        <v>3171.6219999999998</v>
      </c>
      <c r="CO10">
        <f>3153.747</f>
        <v>3153.7469999999998</v>
      </c>
      <c r="CP10">
        <f>3105.995</f>
        <v>3105.9949999999999</v>
      </c>
      <c r="CQ10">
        <f>3093.299</f>
        <v>3093.299</v>
      </c>
      <c r="CR10">
        <f>3034.004</f>
        <v>3034.0039999999999</v>
      </c>
      <c r="CS10">
        <f>2916.022</f>
        <v>2916.0219999999999</v>
      </c>
      <c r="CT10">
        <f>2903.18</f>
        <v>2903.18</v>
      </c>
      <c r="CU10">
        <f>2873.148</f>
        <v>2873.1480000000001</v>
      </c>
      <c r="CV10">
        <f>2799.145</f>
        <v>2799.145</v>
      </c>
      <c r="CW10">
        <f>2751.229</f>
        <v>2751.2289999999998</v>
      </c>
      <c r="CX10">
        <f>2711.306</f>
        <v>2711.306</v>
      </c>
      <c r="CY10">
        <f>2693.639</f>
        <v>2693.6390000000001</v>
      </c>
      <c r="CZ10">
        <f>2745.517</f>
        <v>2745.5169999999998</v>
      </c>
      <c r="DA10">
        <f>2798.806</f>
        <v>2798.806</v>
      </c>
      <c r="DB10">
        <f>2809.968</f>
        <v>2809.9679999999998</v>
      </c>
      <c r="DC10">
        <f>2825.476</f>
        <v>2825.4760000000001</v>
      </c>
      <c r="DD10">
        <f>2906.969</f>
        <v>2906.9690000000001</v>
      </c>
      <c r="DE10">
        <f>2888.549</f>
        <v>2888.549</v>
      </c>
      <c r="DF10">
        <f>2900.572</f>
        <v>2900.5720000000001</v>
      </c>
      <c r="DG10">
        <f>2853.69</f>
        <v>2853.69</v>
      </c>
      <c r="DH10">
        <f>2783.259</f>
        <v>2783.259</v>
      </c>
      <c r="DI10">
        <f>2767.183</f>
        <v>2767.183</v>
      </c>
      <c r="DJ10">
        <f>2759.783</f>
        <v>2759.7829999999999</v>
      </c>
      <c r="DK10">
        <f>2755.277</f>
        <v>2755.277</v>
      </c>
      <c r="DL10">
        <f>2753.373</f>
        <v>2753.373</v>
      </c>
      <c r="DM10">
        <f>2750.817</f>
        <v>2750.817</v>
      </c>
      <c r="DN10">
        <f>2780.827</f>
        <v>2780.8270000000002</v>
      </c>
      <c r="DO10">
        <f>2792.253</f>
        <v>2792.2530000000002</v>
      </c>
      <c r="DP10">
        <f>2751.911</f>
        <v>2751.9110000000001</v>
      </c>
      <c r="DQ10">
        <f>2723.903</f>
        <v>2723.9029999999998</v>
      </c>
      <c r="DR10">
        <f>2697.224</f>
        <v>2697.2240000000002</v>
      </c>
      <c r="DS10">
        <f>2608.884</f>
        <v>2608.884</v>
      </c>
      <c r="DT10">
        <f>2495.702</f>
        <v>2495.7020000000002</v>
      </c>
      <c r="DU10">
        <f>2431.195</f>
        <v>2431.1950000000002</v>
      </c>
    </row>
    <row r="11" spans="1:125" x14ac:dyDescent="0.25">
      <c r="A11" t="str">
        <f>"Western Europe (Bil.) - Euro Area (EUR)"</f>
        <v>Western Europe (Bil.) - Euro Area (EUR)</v>
      </c>
      <c r="B11" t="str">
        <f>"EUGDEMU Index"</f>
        <v>EUGDEMU Index</v>
      </c>
      <c r="E11" t="str">
        <f>"Expression"</f>
        <v>Expression</v>
      </c>
      <c r="F11" t="str">
        <f ca="1">IF(AND($B$31=1,LEN($F$33)&gt;0),$F$33/1000,HLOOKUP(INDIRECT(ADDRESS(2,COLUMN())),OFFSET($BN$2,0,0,ROW()-1,60),ROW()-1,FALSE))</f>
        <v/>
      </c>
      <c r="G11">
        <f ca="1">IF(AND($B$31=1,LEN($G$33)&gt;0),$G$33/1000,HLOOKUP(INDIRECT(ADDRESS(2,COLUMN())),OFFSET($BN$2,0,0,ROW()-1,60),ROW()-1,FALSE))</f>
        <v>3885.9884999999999</v>
      </c>
      <c r="H11">
        <f ca="1">IF(AND($B$31=1,LEN($H$33)&gt;0),$H$33/1000,HLOOKUP(INDIRECT(ADDRESS(2,COLUMN())),OFFSET($BN$2,0,0,ROW()-1,60),ROW()-1,FALSE))</f>
        <v>3852.7020000000002</v>
      </c>
      <c r="I11">
        <f ca="1">IF(AND($B$31=1,LEN($I$33)&gt;0),$I$33/1000,HLOOKUP(INDIRECT(ADDRESS(2,COLUMN())),OFFSET($BN$2,0,0,ROW()-1,60),ROW()-1,FALSE))</f>
        <v>3807.5192999999999</v>
      </c>
      <c r="J11">
        <f ca="1">IF(AND($B$31=1,LEN($J$33)&gt;0),$J$33/1000,HLOOKUP(INDIRECT(ADDRESS(2,COLUMN())),OFFSET($BN$2,0,0,ROW()-1,60),ROW()-1,FALSE))</f>
        <v>3772.4072999999999</v>
      </c>
      <c r="K11">
        <f ca="1">IF(AND($B$31=1,LEN($K$33)&gt;0),$K$33/1000,HLOOKUP(INDIRECT(ADDRESS(2,COLUMN())),OFFSET($BN$2,0,0,ROW()-1,60),ROW()-1,FALSE))</f>
        <v>3743.2064999999998</v>
      </c>
      <c r="L11">
        <f ca="1">IF(AND($B$31=1,LEN($L$33)&gt;0),$L$33/1000,HLOOKUP(INDIRECT(ADDRESS(2,COLUMN())),OFFSET($BN$2,0,0,ROW()-1,60),ROW()-1,FALSE))</f>
        <v>3708.0970000000002</v>
      </c>
      <c r="M11">
        <f ca="1">IF(AND($B$31=1,LEN($M$33)&gt;0),$M$33/1000,HLOOKUP(INDIRECT(ADDRESS(2,COLUMN())),OFFSET($BN$2,0,0,ROW()-1,60),ROW()-1,FALSE))</f>
        <v>3667.9544999999998</v>
      </c>
      <c r="N11">
        <f ca="1">IF(AND($B$31=1,LEN($N$33)&gt;0),$N$33/1000,HLOOKUP(INDIRECT(ADDRESS(2,COLUMN())),OFFSET($BN$2,0,0,ROW()-1,60),ROW()-1,FALSE))</f>
        <v>3640.3645000000001</v>
      </c>
      <c r="O11">
        <f ca="1">IF(AND($B$31=1,LEN($O$33)&gt;0),$O$33/1000,HLOOKUP(INDIRECT(ADDRESS(2,COLUMN())),OFFSET($BN$2,0,0,ROW()-1,60),ROW()-1,FALSE))</f>
        <v>3592.8278</v>
      </c>
      <c r="P11">
        <f ca="1">IF(AND($B$31=1,LEN($P$33)&gt;0),$P$33/1000,HLOOKUP(INDIRECT(ADDRESS(2,COLUMN())),OFFSET($BN$2,0,0,ROW()-1,60),ROW()-1,FALSE))</f>
        <v>3527.2651999999998</v>
      </c>
      <c r="Q11">
        <f ca="1">IF(AND($B$31=1,LEN($Q$33)&gt;0),$Q$33/1000,HLOOKUP(INDIRECT(ADDRESS(2,COLUMN())),OFFSET($BN$2,0,0,ROW()-1,60),ROW()-1,FALSE))</f>
        <v>3460.6640000000002</v>
      </c>
      <c r="R11">
        <f ca="1">IF(AND($B$31=1,LEN($R$33)&gt;0),$R$33/1000,HLOOKUP(INDIRECT(ADDRESS(2,COLUMN())),OFFSET($BN$2,0,0,ROW()-1,60),ROW()-1,FALSE))</f>
        <v>3399.6502999999998</v>
      </c>
      <c r="S11">
        <f ca="1">IF(AND($B$31=1,LEN($S$33)&gt;0),$S$33/1000,HLOOKUP(INDIRECT(ADDRESS(2,COLUMN())),OFFSET($BN$2,0,0,ROW()-1,60),ROW()-1,FALSE))</f>
        <v>3326.8777</v>
      </c>
      <c r="T11">
        <f ca="1">IF(AND($B$31=1,LEN($T$33)&gt;0),$T$33/1000,HLOOKUP(INDIRECT(ADDRESS(2,COLUMN())),OFFSET($BN$2,0,0,ROW()-1,60),ROW()-1,FALSE))</f>
        <v>3263.3072000000002</v>
      </c>
      <c r="U11">
        <f ca="1">IF(AND($B$31=1,LEN($U$33)&gt;0),$U$33/1000,HLOOKUP(INDIRECT(ADDRESS(2,COLUMN())),OFFSET($BN$2,0,0,ROW()-1,60),ROW()-1,FALSE))</f>
        <v>3199.6136999999999</v>
      </c>
      <c r="V11">
        <f ca="1">IF(AND($B$31=1,LEN($V$33)&gt;0),$V$33/1000,HLOOKUP(INDIRECT(ADDRESS(2,COLUMN())),OFFSET($BN$2,0,0,ROW()-1,60),ROW()-1,FALSE))</f>
        <v>3105.8168999999998</v>
      </c>
      <c r="W11">
        <f ca="1">IF(AND($B$31=1,LEN($W$33)&gt;0),$W$33/1000,HLOOKUP(INDIRECT(ADDRESS(2,COLUMN())),OFFSET($BN$2,0,0,ROW()-1,60),ROW()-1,FALSE))</f>
        <v>3028.6187</v>
      </c>
      <c r="X11">
        <f ca="1">IF(AND($B$31=1,LEN($X$33)&gt;0),$X$33/1000,HLOOKUP(INDIRECT(ADDRESS(2,COLUMN())),OFFSET($BN$2,0,0,ROW()-1,60),ROW()-1,FALSE))</f>
        <v>2992.5549000000001</v>
      </c>
      <c r="Y11">
        <f ca="1">IF(AND($B$31=1,LEN($Y$33)&gt;0),$Y$33/1000,HLOOKUP(INDIRECT(ADDRESS(2,COLUMN())),OFFSET($BN$2,0,0,ROW()-1,60),ROW()-1,FALSE))</f>
        <v>2958.6417999999999</v>
      </c>
      <c r="Z11">
        <f ca="1">IF(AND($B$31=1,LEN($Z$33)&gt;0),$Z$33/1000,HLOOKUP(INDIRECT(ADDRESS(2,COLUMN())),OFFSET($BN$2,0,0,ROW()-1,60),ROW()-1,FALSE))</f>
        <v>2678.0275000000001</v>
      </c>
      <c r="AA11">
        <f ca="1">IF(AND($B$31=1,LEN($AA$33)&gt;0),$AA$33/1000,HLOOKUP(INDIRECT(ADDRESS(2,COLUMN())),OFFSET($BN$2,0,0,ROW()-1,60),ROW()-1,FALSE))</f>
        <v>2976.8247999999999</v>
      </c>
      <c r="AB11">
        <f ca="1">IF(AND($B$31=1,LEN($AB$33)&gt;0),$AB$33/1000,HLOOKUP(INDIRECT(ADDRESS(2,COLUMN())),OFFSET($BN$2,0,0,ROW()-1,60),ROW()-1,FALSE))</f>
        <v>3065.2431999999999</v>
      </c>
      <c r="AC11">
        <f ca="1">IF(AND($B$31=1,LEN($AC$33)&gt;0),$AC$33/1000,HLOOKUP(INDIRECT(ADDRESS(2,COLUMN())),OFFSET($BN$2,0,0,ROW()-1,60),ROW()-1,FALSE))</f>
        <v>3048.1264999999999</v>
      </c>
      <c r="AD11">
        <f ca="1">IF(AND($B$31=1,LEN($AD$33)&gt;0),$AD$33/1000,HLOOKUP(INDIRECT(ADDRESS(2,COLUMN())),OFFSET($BN$2,0,0,ROW()-1,60),ROW()-1,FALSE))</f>
        <v>3027.6761999999999</v>
      </c>
      <c r="AE11">
        <f ca="1">IF(AND($B$31=1,LEN($AE$33)&gt;0),$AE$33/1000,HLOOKUP(INDIRECT(ADDRESS(2,COLUMN())),OFFSET($BN$2,0,0,ROW()-1,60),ROW()-1,FALSE))</f>
        <v>3006.5916000000002</v>
      </c>
      <c r="AF11">
        <f ca="1">IF(AND($B$31=1,LEN($AF$33)&gt;0),$AF$33/1000,HLOOKUP(INDIRECT(ADDRESS(2,COLUMN())),OFFSET($BN$2,0,0,ROW()-1,60),ROW()-1,FALSE))</f>
        <v>2975.5677999999998</v>
      </c>
      <c r="AG11">
        <f ca="1">IF(AND($B$31=1,LEN($AG$33)&gt;0),$AG$33/1000,HLOOKUP(INDIRECT(ADDRESS(2,COLUMN())),OFFSET($BN$2,0,0,ROW()-1,60),ROW()-1,FALSE))</f>
        <v>2943.8759</v>
      </c>
      <c r="AH11">
        <f ca="1">IF(AND($B$31=1,LEN($AH$33)&gt;0),$AH$33/1000,HLOOKUP(INDIRECT(ADDRESS(2,COLUMN())),OFFSET($BN$2,0,0,ROW()-1,60),ROW()-1,FALSE))</f>
        <v>2926.8874000000001</v>
      </c>
      <c r="AI11">
        <f ca="1">IF(AND($B$31=1,LEN($AI$33)&gt;0),$AI$33/1000,HLOOKUP(INDIRECT(ADDRESS(2,COLUMN())),OFFSET($BN$2,0,0,ROW()-1,60),ROW()-1,FALSE))</f>
        <v>2904.8177000000001</v>
      </c>
      <c r="AJ11">
        <f ca="1">IF(AND($B$31=1,LEN($AJ$33)&gt;0),$AJ$33/1000,HLOOKUP(INDIRECT(ADDRESS(2,COLUMN())),OFFSET($BN$2,0,0,ROW()-1,60),ROW()-1,FALSE))</f>
        <v>2889.9533000000001</v>
      </c>
      <c r="AK11">
        <f ca="1">IF(AND($B$31=1,LEN($AK$33)&gt;0),$AK$33/1000,HLOOKUP(INDIRECT(ADDRESS(2,COLUMN())),OFFSET($BN$2,0,0,ROW()-1,60),ROW()-1,FALSE))</f>
        <v>2856.9899</v>
      </c>
      <c r="AL11">
        <f ca="1">IF(AND($B$31=1,LEN($AL$33)&gt;0),$AL$33/1000,HLOOKUP(INDIRECT(ADDRESS(2,COLUMN())),OFFSET($BN$2,0,0,ROW()-1,60),ROW()-1,FALSE))</f>
        <v>2830.3411999999998</v>
      </c>
      <c r="AM11">
        <f ca="1">IF(AND($B$31=1,LEN($AM$33)&gt;0),$AM$33/1000,HLOOKUP(INDIRECT(ADDRESS(2,COLUMN())),OFFSET($BN$2,0,0,ROW()-1,60),ROW()-1,FALSE))</f>
        <v>2798.8087</v>
      </c>
      <c r="AN11">
        <f ca="1">IF(AND($B$31=1,LEN($AN$33)&gt;0),$AN$33/1000,HLOOKUP(INDIRECT(ADDRESS(2,COLUMN())),OFFSET($BN$2,0,0,ROW()-1,60),ROW()-1,FALSE))</f>
        <v>2766.2285999999999</v>
      </c>
      <c r="AO11">
        <f ca="1">IF(AND($B$31=1,LEN($AO$33)&gt;0),$AO$33/1000,HLOOKUP(INDIRECT(ADDRESS(2,COLUMN())),OFFSET($BN$2,0,0,ROW()-1,60),ROW()-1,FALSE))</f>
        <v>2743.7321999999999</v>
      </c>
      <c r="AP11">
        <f ca="1">IF(AND($B$31=1,LEN($AP$33)&gt;0),$AP$33/1000,HLOOKUP(INDIRECT(ADDRESS(2,COLUMN())),OFFSET($BN$2,0,0,ROW()-1,60),ROW()-1,FALSE))</f>
        <v>2723.8741</v>
      </c>
      <c r="AQ11">
        <f ca="1">IF(AND($B$31=1,LEN($AQ$33)&gt;0),$AQ$33/1000,HLOOKUP(INDIRECT(ADDRESS(2,COLUMN())),OFFSET($BN$2,0,0,ROW()-1,60),ROW()-1,FALSE))</f>
        <v>2713.3993999999998</v>
      </c>
      <c r="AR11">
        <f ca="1">IF(AND($B$31=1,LEN($AR$33)&gt;0),$AR$33/1000,HLOOKUP(INDIRECT(ADDRESS(2,COLUMN())),OFFSET($BN$2,0,0,ROW()-1,60),ROW()-1,FALSE))</f>
        <v>2693.0785999999998</v>
      </c>
      <c r="AS11">
        <f ca="1">IF(AND($B$31=1,LEN($AS$33)&gt;0),$AS$33/1000,HLOOKUP(INDIRECT(ADDRESS(2,COLUMN())),OFFSET($BN$2,0,0,ROW()-1,60),ROW()-1,FALSE))</f>
        <v>2676.4627</v>
      </c>
      <c r="AT11">
        <f ca="1">IF(AND($B$31=1,LEN($AT$33)&gt;0),$AT$33/1000,HLOOKUP(INDIRECT(ADDRESS(2,COLUMN())),OFFSET($BN$2,0,0,ROW()-1,60),ROW()-1,FALSE))</f>
        <v>2656.2975000000001</v>
      </c>
      <c r="AU11">
        <f ca="1">IF(AND($B$31=1,LEN($AU$33)&gt;0),$AU$33/1000,HLOOKUP(INDIRECT(ADDRESS(2,COLUMN())),OFFSET($BN$2,0,0,ROW()-1,60),ROW()-1,FALSE))</f>
        <v>2633.1903000000002</v>
      </c>
      <c r="AV11">
        <f ca="1">IF(AND($B$31=1,LEN($AV$33)&gt;0),$AV$33/1000,HLOOKUP(INDIRECT(ADDRESS(2,COLUMN())),OFFSET($BN$2,0,0,ROW()-1,60),ROW()-1,FALSE))</f>
        <v>2601.3535000000002</v>
      </c>
      <c r="AW11">
        <f ca="1">IF(AND($B$31=1,LEN($AW$33)&gt;0),$AW$33/1000,HLOOKUP(INDIRECT(ADDRESS(2,COLUMN())),OFFSET($BN$2,0,0,ROW()-1,60),ROW()-1,FALSE))</f>
        <v>2583.9663</v>
      </c>
      <c r="AX11">
        <f ca="1">IF(AND($B$31=1,LEN($AX$33)&gt;0),$AX$33/1000,HLOOKUP(INDIRECT(ADDRESS(2,COLUMN())),OFFSET($BN$2,0,0,ROW()-1,60),ROW()-1,FALSE))</f>
        <v>2567.4387999999999</v>
      </c>
      <c r="AY11">
        <f ca="1">IF(AND($B$31=1,LEN($AY$33)&gt;0),$AY$33/1000,HLOOKUP(INDIRECT(ADDRESS(2,COLUMN())),OFFSET($BN$2,0,0,ROW()-1,60),ROW()-1,FALSE))</f>
        <v>2555.6487000000002</v>
      </c>
      <c r="AZ11">
        <f ca="1">IF(AND($B$31=1,LEN($AZ$33)&gt;0),$AZ$33/1000,HLOOKUP(INDIRECT(ADDRESS(2,COLUMN())),OFFSET($BN$2,0,0,ROW()-1,60),ROW()-1,FALSE))</f>
        <v>2532.5553</v>
      </c>
      <c r="BA11">
        <f ca="1">IF(AND($B$31=1,LEN($BA$33)&gt;0),$BA$33/1000,HLOOKUP(INDIRECT(ADDRESS(2,COLUMN())),OFFSET($BN$2,0,0,ROW()-1,60),ROW()-1,FALSE))</f>
        <v>2525.3384000000001</v>
      </c>
      <c r="BB11">
        <f ca="1">IF(AND($B$31=1,LEN($BB$33)&gt;0),$BB$33/1000,HLOOKUP(INDIRECT(ADDRESS(2,COLUMN())),OFFSET($BN$2,0,0,ROW()-1,60),ROW()-1,FALSE))</f>
        <v>2514.8829999999998</v>
      </c>
      <c r="BC11">
        <f ca="1">IF(AND($B$31=1,LEN($BC$33)&gt;0),$BC$33/1000,HLOOKUP(INDIRECT(ADDRESS(2,COLUMN())),OFFSET($BN$2,0,0,ROW()-1,60),ROW()-1,FALSE))</f>
        <v>2492.6291000000001</v>
      </c>
      <c r="BD11">
        <f ca="1">IF(AND($B$31=1,LEN($BD$33)&gt;0),$BD$33/1000,HLOOKUP(INDIRECT(ADDRESS(2,COLUMN())),OFFSET($BN$2,0,0,ROW()-1,60),ROW()-1,FALSE))</f>
        <v>2486.9180000000001</v>
      </c>
      <c r="BE11">
        <f ca="1">IF(AND($B$31=1,LEN($BE$33)&gt;0),$BE$33/1000,HLOOKUP(INDIRECT(ADDRESS(2,COLUMN())),OFFSET($BN$2,0,0,ROW()-1,60),ROW()-1,FALSE))</f>
        <v>2492.9425999999999</v>
      </c>
      <c r="BF11">
        <f ca="1">IF(AND($B$31=1,LEN($BF$33)&gt;0),$BF$33/1000,HLOOKUP(INDIRECT(ADDRESS(2,COLUMN())),OFFSET($BN$2,0,0,ROW()-1,60),ROW()-1,FALSE))</f>
        <v>2485.9025999999999</v>
      </c>
      <c r="BG11">
        <f ca="1">IF(AND($B$31=1,LEN($BG$33)&gt;0),$BG$33/1000,HLOOKUP(INDIRECT(ADDRESS(2,COLUMN())),OFFSET($BN$2,0,0,ROW()-1,60),ROW()-1,FALSE))</f>
        <v>2487.8690000000001</v>
      </c>
      <c r="BH11">
        <f ca="1">IF(AND($B$31=1,LEN($BH$33)&gt;0),$BH$33/1000,HLOOKUP(INDIRECT(ADDRESS(2,COLUMN())),OFFSET($BN$2,0,0,ROW()-1,60),ROW()-1,FALSE))</f>
        <v>2484.4286999999999</v>
      </c>
      <c r="BI11">
        <f ca="1">IF(AND($B$31=1,LEN($BI$33)&gt;0),$BI$33/1000,HLOOKUP(INDIRECT(ADDRESS(2,COLUMN())),OFFSET($BN$2,0,0,ROW()-1,60),ROW()-1,FALSE))</f>
        <v>2485.1313</v>
      </c>
      <c r="BJ11">
        <f ca="1">IF(AND($B$31=1,LEN($BJ$33)&gt;0),$BJ$33/1000,HLOOKUP(INDIRECT(ADDRESS(2,COLUMN())),OFFSET($BN$2,0,0,ROW()-1,60),ROW()-1,FALSE))</f>
        <v>2476.8836999999999</v>
      </c>
      <c r="BK11">
        <f ca="1">IF(AND($B$31=1,LEN($BK$33)&gt;0),$BK$33/1000,HLOOKUP(INDIRECT(ADDRESS(2,COLUMN())),OFFSET($BN$2,0,0,ROW()-1,60),ROW()-1,FALSE))</f>
        <v>2472.0133000000001</v>
      </c>
      <c r="BL11">
        <f ca="1">IF(AND($B$31=1,LEN($BL$33)&gt;0),$BL$33/1000,HLOOKUP(INDIRECT(ADDRESS(2,COLUMN())),OFFSET($BN$2,0,0,ROW()-1,60),ROW()-1,FALSE))</f>
        <v>2439.4036000000001</v>
      </c>
      <c r="BM11">
        <f ca="1">IF(AND($B$31=1,LEN($BM$33)&gt;0),$BM$33/1000,HLOOKUP(INDIRECT(ADDRESS(2,COLUMN())),OFFSET($BN$2,0,0,ROW()-1,60),ROW()-1,FALSE))</f>
        <v>2420.9213</v>
      </c>
      <c r="BN11" t="str">
        <f>""</f>
        <v/>
      </c>
      <c r="BO11">
        <f>3885.9885</f>
        <v>3885.9884999999999</v>
      </c>
      <c r="BP11">
        <f>3852.702</f>
        <v>3852.7020000000002</v>
      </c>
      <c r="BQ11">
        <f>3807.5193</f>
        <v>3807.5192999999999</v>
      </c>
      <c r="BR11">
        <f>3772.4073</f>
        <v>3772.4072999999999</v>
      </c>
      <c r="BS11">
        <f>3743.2065</f>
        <v>3743.2064999999998</v>
      </c>
      <c r="BT11">
        <f>3708.097</f>
        <v>3708.0970000000002</v>
      </c>
      <c r="BU11">
        <f>3667.9545</f>
        <v>3667.9544999999998</v>
      </c>
      <c r="BV11">
        <f>3640.3645</f>
        <v>3640.3645000000001</v>
      </c>
      <c r="BW11">
        <f>3592.8278</f>
        <v>3592.8278</v>
      </c>
      <c r="BX11">
        <f>3527.2652</f>
        <v>3527.2651999999998</v>
      </c>
      <c r="BY11">
        <f>3460.664</f>
        <v>3460.6640000000002</v>
      </c>
      <c r="BZ11">
        <f>3399.6503</f>
        <v>3399.6502999999998</v>
      </c>
      <c r="CA11">
        <f>3326.8777</f>
        <v>3326.8777</v>
      </c>
      <c r="CB11">
        <f>3263.3072</f>
        <v>3263.3072000000002</v>
      </c>
      <c r="CC11">
        <f>3199.6137</f>
        <v>3199.6136999999999</v>
      </c>
      <c r="CD11">
        <f>3105.8169</f>
        <v>3105.8168999999998</v>
      </c>
      <c r="CE11">
        <f>3028.6187</f>
        <v>3028.6187</v>
      </c>
      <c r="CF11">
        <f>2992.5549</f>
        <v>2992.5549000000001</v>
      </c>
      <c r="CG11">
        <f>2958.6418</f>
        <v>2958.6417999999999</v>
      </c>
      <c r="CH11">
        <f>2678.0275</f>
        <v>2678.0275000000001</v>
      </c>
      <c r="CI11">
        <f>2976.8248</f>
        <v>2976.8247999999999</v>
      </c>
      <c r="CJ11">
        <f>3065.2432</f>
        <v>3065.2431999999999</v>
      </c>
      <c r="CK11">
        <f>3048.1265</f>
        <v>3048.1264999999999</v>
      </c>
      <c r="CL11">
        <f>3027.6762</f>
        <v>3027.6761999999999</v>
      </c>
      <c r="CM11">
        <f>3006.5916</f>
        <v>3006.5916000000002</v>
      </c>
      <c r="CN11">
        <f>2975.5678</f>
        <v>2975.5677999999998</v>
      </c>
      <c r="CO11">
        <f>2943.8759</f>
        <v>2943.8759</v>
      </c>
      <c r="CP11">
        <f>2926.8874</f>
        <v>2926.8874000000001</v>
      </c>
      <c r="CQ11">
        <f>2904.8177</f>
        <v>2904.8177000000001</v>
      </c>
      <c r="CR11">
        <f>2889.9533</f>
        <v>2889.9533000000001</v>
      </c>
      <c r="CS11">
        <f>2856.9899</f>
        <v>2856.9899</v>
      </c>
      <c r="CT11">
        <f>2830.3412</f>
        <v>2830.3411999999998</v>
      </c>
      <c r="CU11">
        <f>2798.8087</f>
        <v>2798.8087</v>
      </c>
      <c r="CV11">
        <f>2766.2286</f>
        <v>2766.2285999999999</v>
      </c>
      <c r="CW11">
        <f>2743.7322</f>
        <v>2743.7321999999999</v>
      </c>
      <c r="CX11">
        <f>2723.8741</f>
        <v>2723.8741</v>
      </c>
      <c r="CY11">
        <f>2713.3994</f>
        <v>2713.3993999999998</v>
      </c>
      <c r="CZ11">
        <f>2693.0786</f>
        <v>2693.0785999999998</v>
      </c>
      <c r="DA11">
        <f>2676.4627</f>
        <v>2676.4627</v>
      </c>
      <c r="DB11">
        <f>2656.2975</f>
        <v>2656.2975000000001</v>
      </c>
      <c r="DC11">
        <f>2633.1903</f>
        <v>2633.1903000000002</v>
      </c>
      <c r="DD11">
        <f>2601.3535</f>
        <v>2601.3535000000002</v>
      </c>
      <c r="DE11">
        <f>2583.9663</f>
        <v>2583.9663</v>
      </c>
      <c r="DF11">
        <f>2567.4388</f>
        <v>2567.4387999999999</v>
      </c>
      <c r="DG11">
        <f>2555.6487</f>
        <v>2555.6487000000002</v>
      </c>
      <c r="DH11">
        <f>2532.5553</f>
        <v>2532.5553</v>
      </c>
      <c r="DI11">
        <f>2525.3384</f>
        <v>2525.3384000000001</v>
      </c>
      <c r="DJ11">
        <f>2514.883</f>
        <v>2514.8829999999998</v>
      </c>
      <c r="DK11">
        <f>2492.6291</f>
        <v>2492.6291000000001</v>
      </c>
      <c r="DL11">
        <f>2486.918</f>
        <v>2486.9180000000001</v>
      </c>
      <c r="DM11">
        <f>2492.9426</f>
        <v>2492.9425999999999</v>
      </c>
      <c r="DN11">
        <f>2485.9026</f>
        <v>2485.9025999999999</v>
      </c>
      <c r="DO11">
        <f>2487.869</f>
        <v>2487.8690000000001</v>
      </c>
      <c r="DP11">
        <f>2484.4287</f>
        <v>2484.4286999999999</v>
      </c>
      <c r="DQ11">
        <f>2485.1313</f>
        <v>2485.1313</v>
      </c>
      <c r="DR11">
        <f>2476.8837</f>
        <v>2476.8836999999999</v>
      </c>
      <c r="DS11">
        <f>2472.0133</f>
        <v>2472.0133000000001</v>
      </c>
      <c r="DT11">
        <f>2439.4036</f>
        <v>2439.4036000000001</v>
      </c>
      <c r="DU11">
        <f>2420.9213</f>
        <v>2420.9213</v>
      </c>
    </row>
    <row r="12" spans="1:125" x14ac:dyDescent="0.25">
      <c r="A12" t="str">
        <f>"        Final Consumption Expenditure"</f>
        <v xml:space="preserve">        Final Consumption Expenditure</v>
      </c>
      <c r="B12" t="str">
        <f>"ENFCEAS Index"</f>
        <v>ENFCEAS Index</v>
      </c>
      <c r="E12" t="str">
        <f>"Expression"</f>
        <v>Expression</v>
      </c>
      <c r="F12" t="str">
        <f ca="1">IF(AND($B$31=1,LEN($F$34)&gt;0),$F$34/1000,HLOOKUP(INDIRECT(ADDRESS(2,COLUMN())),OFFSET($BN$2,0,0,ROW()-1,60),ROW()-1,FALSE))</f>
        <v/>
      </c>
      <c r="G12">
        <f ca="1">IF(AND($B$31=1,LEN($G$34)&gt;0),$G$34/1000,HLOOKUP(INDIRECT(ADDRESS(2,COLUMN())),OFFSET($BN$2,0,0,ROW()-1,60),ROW()-1,FALSE))</f>
        <v>2888.1282000000001</v>
      </c>
      <c r="H12">
        <f ca="1">IF(AND($B$31=1,LEN($H$34)&gt;0),$H$34/1000,HLOOKUP(INDIRECT(ADDRESS(2,COLUMN())),OFFSET($BN$2,0,0,ROW()-1,60),ROW()-1,FALSE))</f>
        <v>2858.7927</v>
      </c>
      <c r="I12">
        <f ca="1">IF(AND($B$31=1,LEN($I$34)&gt;0),$I$34/1000,HLOOKUP(INDIRECT(ADDRESS(2,COLUMN())),OFFSET($BN$2,0,0,ROW()-1,60),ROW()-1,FALSE))</f>
        <v>2834.7721000000001</v>
      </c>
      <c r="J12">
        <f ca="1">IF(AND($B$31=1,LEN($J$34)&gt;0),$J$34/1000,HLOOKUP(INDIRECT(ADDRESS(2,COLUMN())),OFFSET($BN$2,0,0,ROW()-1,60),ROW()-1,FALSE))</f>
        <v>2805.52</v>
      </c>
      <c r="K12">
        <f ca="1">IF(AND($B$31=1,LEN($K$34)&gt;0),$K$34/1000,HLOOKUP(INDIRECT(ADDRESS(2,COLUMN())),OFFSET($BN$2,0,0,ROW()-1,60),ROW()-1,FALSE))</f>
        <v>2780.9173000000001</v>
      </c>
      <c r="L12">
        <f ca="1">IF(AND($B$31=1,LEN($L$34)&gt;0),$L$34/1000,HLOOKUP(INDIRECT(ADDRESS(2,COLUMN())),OFFSET($BN$2,0,0,ROW()-1,60),ROW()-1,FALSE))</f>
        <v>2752.5781000000002</v>
      </c>
      <c r="M12">
        <f ca="1">IF(AND($B$31=1,LEN($M$34)&gt;0),$M$34/1000,HLOOKUP(INDIRECT(ADDRESS(2,COLUMN())),OFFSET($BN$2,0,0,ROW()-1,60),ROW()-1,FALSE))</f>
        <v>2723.3114</v>
      </c>
      <c r="N12">
        <f ca="1">IF(AND($B$31=1,LEN($N$34)&gt;0),$N$34/1000,HLOOKUP(INDIRECT(ADDRESS(2,COLUMN())),OFFSET($BN$2,0,0,ROW()-1,60),ROW()-1,FALSE))</f>
        <v>2693.8128999999999</v>
      </c>
      <c r="O12">
        <f ca="1">IF(AND($B$31=1,LEN($O$34)&gt;0),$O$34/1000,HLOOKUP(INDIRECT(ADDRESS(2,COLUMN())),OFFSET($BN$2,0,0,ROW()-1,60),ROW()-1,FALSE))</f>
        <v>2657.7057</v>
      </c>
      <c r="P12">
        <f ca="1">IF(AND($B$31=1,LEN($P$34)&gt;0),$P$34/1000,HLOOKUP(INDIRECT(ADDRESS(2,COLUMN())),OFFSET($BN$2,0,0,ROW()-1,60),ROW()-1,FALSE))</f>
        <v>2620.6016</v>
      </c>
      <c r="Q12">
        <f ca="1">IF(AND($B$31=1,LEN($Q$34)&gt;0),$Q$34/1000,HLOOKUP(INDIRECT(ADDRESS(2,COLUMN())),OFFSET($BN$2,0,0,ROW()-1,60),ROW()-1,FALSE))</f>
        <v>2576.7203</v>
      </c>
      <c r="R12">
        <f ca="1">IF(AND($B$31=1,LEN($R$34)&gt;0),$R$34/1000,HLOOKUP(INDIRECT(ADDRESS(2,COLUMN())),OFFSET($BN$2,0,0,ROW()-1,60),ROW()-1,FALSE))</f>
        <v>2517.643</v>
      </c>
      <c r="S12">
        <f ca="1">IF(AND($B$31=1,LEN($S$34)&gt;0),$S$34/1000,HLOOKUP(INDIRECT(ADDRESS(2,COLUMN())),OFFSET($BN$2,0,0,ROW()-1,60),ROW()-1,FALSE))</f>
        <v>2458.7145</v>
      </c>
      <c r="T12">
        <f ca="1">IF(AND($B$31=1,LEN($T$34)&gt;0),$T$34/1000,HLOOKUP(INDIRECT(ADDRESS(2,COLUMN())),OFFSET($BN$2,0,0,ROW()-1,60),ROW()-1,FALSE))</f>
        <v>2401.0250000000001</v>
      </c>
      <c r="U12">
        <f ca="1">IF(AND($B$31=1,LEN($U$34)&gt;0),$U$34/1000,HLOOKUP(INDIRECT(ADDRESS(2,COLUMN())),OFFSET($BN$2,0,0,ROW()-1,60),ROW()-1,FALSE))</f>
        <v>2360.2404999999999</v>
      </c>
      <c r="V12">
        <f ca="1">IF(AND($B$31=1,LEN($V$34)&gt;0),$V$34/1000,HLOOKUP(INDIRECT(ADDRESS(2,COLUMN())),OFFSET($BN$2,0,0,ROW()-1,60),ROW()-1,FALSE))</f>
        <v>2277.7042000000001</v>
      </c>
      <c r="W12">
        <f ca="1">IF(AND($B$31=1,LEN($W$34)&gt;0),$W$34/1000,HLOOKUP(INDIRECT(ADDRESS(2,COLUMN())),OFFSET($BN$2,0,0,ROW()-1,60),ROW()-1,FALSE))</f>
        <v>2196.5320999999999</v>
      </c>
      <c r="X12">
        <f ca="1">IF(AND($B$31=1,LEN($X$34)&gt;0),$X$34/1000,HLOOKUP(INDIRECT(ADDRESS(2,COLUMN())),OFFSET($BN$2,0,0,ROW()-1,60),ROW()-1,FALSE))</f>
        <v>2192.7202000000002</v>
      </c>
      <c r="Y12">
        <f ca="1">IF(AND($B$31=1,LEN($Y$34)&gt;0),$Y$34/1000,HLOOKUP(INDIRECT(ADDRESS(2,COLUMN())),OFFSET($BN$2,0,0,ROW()-1,60),ROW()-1,FALSE))</f>
        <v>2221.9214000000002</v>
      </c>
      <c r="Z12">
        <f ca="1">IF(AND($B$31=1,LEN($Z$34)&gt;0),$Z$34/1000,HLOOKUP(INDIRECT(ADDRESS(2,COLUMN())),OFFSET($BN$2,0,0,ROW()-1,60),ROW()-1,FALSE))</f>
        <v>2019.9591</v>
      </c>
      <c r="AA12">
        <f ca="1">IF(AND($B$31=1,LEN($AA$34)&gt;0),$AA$34/1000,HLOOKUP(INDIRECT(ADDRESS(2,COLUMN())),OFFSET($BN$2,0,0,ROW()-1,60),ROW()-1,FALSE))</f>
        <v>2204.7460999999998</v>
      </c>
      <c r="AB12">
        <f ca="1">IF(AND($B$31=1,LEN($AB$34)&gt;0),$AB$34/1000,HLOOKUP(INDIRECT(ADDRESS(2,COLUMN())),OFFSET($BN$2,0,0,ROW()-1,60),ROW()-1,FALSE))</f>
        <v>2273.1354999999999</v>
      </c>
      <c r="AC12">
        <f ca="1">IF(AND($B$31=1,LEN($AC$34)&gt;0),$AC$34/1000,HLOOKUP(INDIRECT(ADDRESS(2,COLUMN())),OFFSET($BN$2,0,0,ROW()-1,60),ROW()-1,FALSE))</f>
        <v>2262.4059999999999</v>
      </c>
      <c r="AD12">
        <f ca="1">IF(AND($B$31=1,LEN($AD$34)&gt;0),$AD$34/1000,HLOOKUP(INDIRECT(ADDRESS(2,COLUMN())),OFFSET($BN$2,0,0,ROW()-1,60),ROW()-1,FALSE))</f>
        <v>2243.8447999999999</v>
      </c>
      <c r="AE12">
        <f ca="1">IF(AND($B$31=1,LEN($AE$34)&gt;0),$AE$34/1000,HLOOKUP(INDIRECT(ADDRESS(2,COLUMN())),OFFSET($BN$2,0,0,ROW()-1,60),ROW()-1,FALSE))</f>
        <v>2223.8868000000002</v>
      </c>
      <c r="AF12">
        <f ca="1">IF(AND($B$31=1,LEN($AF$34)&gt;0),$AF$34/1000,HLOOKUP(INDIRECT(ADDRESS(2,COLUMN())),OFFSET($BN$2,0,0,ROW()-1,60),ROW()-1,FALSE))</f>
        <v>2211.9023000000002</v>
      </c>
      <c r="AG12">
        <f ca="1">IF(AND($B$31=1,LEN($AG$34)&gt;0),$AG$34/1000,HLOOKUP(INDIRECT(ADDRESS(2,COLUMN())),OFFSET($BN$2,0,0,ROW()-1,60),ROW()-1,FALSE))</f>
        <v>2192.1088</v>
      </c>
      <c r="AH12">
        <f ca="1">IF(AND($B$31=1,LEN($AH$34)&gt;0),$AH$34/1000,HLOOKUP(INDIRECT(ADDRESS(2,COLUMN())),OFFSET($BN$2,0,0,ROW()-1,60),ROW()-1,FALSE))</f>
        <v>2179.0635000000002</v>
      </c>
      <c r="AI12">
        <f ca="1">IF(AND($B$31=1,LEN($AI$34)&gt;0),$AI$34/1000,HLOOKUP(INDIRECT(ADDRESS(2,COLUMN())),OFFSET($BN$2,0,0,ROW()-1,60),ROW()-1,FALSE))</f>
        <v>2162.9735000000001</v>
      </c>
      <c r="AJ12">
        <f ca="1">IF(AND($B$31=1,LEN($AJ$34)&gt;0),$AJ$34/1000,HLOOKUP(INDIRECT(ADDRESS(2,COLUMN())),OFFSET($BN$2,0,0,ROW()-1,60),ROW()-1,FALSE))</f>
        <v>2146.6709999999998</v>
      </c>
      <c r="AK12">
        <f ca="1">IF(AND($B$31=1,LEN($AK$34)&gt;0),$AK$34/1000,HLOOKUP(INDIRECT(ADDRESS(2,COLUMN())),OFFSET($BN$2,0,0,ROW()-1,60),ROW()-1,FALSE))</f>
        <v>2127.6025</v>
      </c>
      <c r="AL12">
        <f ca="1">IF(AND($B$31=1,LEN($AL$34)&gt;0),$AL$34/1000,HLOOKUP(INDIRECT(ADDRESS(2,COLUMN())),OFFSET($BN$2,0,0,ROW()-1,60),ROW()-1,FALSE))</f>
        <v>2115.5038</v>
      </c>
      <c r="AM12">
        <f ca="1">IF(AND($B$31=1,LEN($AM$34)&gt;0),$AM$34/1000,HLOOKUP(INDIRECT(ADDRESS(2,COLUMN())),OFFSET($BN$2,0,0,ROW()-1,60),ROW()-1,FALSE))</f>
        <v>2097.6107999999999</v>
      </c>
      <c r="AN12">
        <f ca="1">IF(AND($B$31=1,LEN($AN$34)&gt;0),$AN$34/1000,HLOOKUP(INDIRECT(ADDRESS(2,COLUMN())),OFFSET($BN$2,0,0,ROW()-1,60),ROW()-1,FALSE))</f>
        <v>2079.8827000000001</v>
      </c>
      <c r="AO12">
        <f ca="1">IF(AND($B$31=1,LEN($AO$34)&gt;0),$AO$34/1000,HLOOKUP(INDIRECT(ADDRESS(2,COLUMN())),OFFSET($BN$2,0,0,ROW()-1,60),ROW()-1,FALSE))</f>
        <v>2060.1064000000001</v>
      </c>
      <c r="AP12">
        <f ca="1">IF(AND($B$31=1,LEN($AP$34)&gt;0),$AP$34/1000,HLOOKUP(INDIRECT(ADDRESS(2,COLUMN())),OFFSET($BN$2,0,0,ROW()-1,60),ROW()-1,FALSE))</f>
        <v>2046.0933</v>
      </c>
      <c r="AQ12">
        <f ca="1">IF(AND($B$31=1,LEN($AQ$34)&gt;0),$AQ$34/1000,HLOOKUP(INDIRECT(ADDRESS(2,COLUMN())),OFFSET($BN$2,0,0,ROW()-1,60),ROW()-1,FALSE))</f>
        <v>2035.5053</v>
      </c>
      <c r="AR12">
        <f ca="1">IF(AND($B$31=1,LEN($AR$34)&gt;0),$AR$34/1000,HLOOKUP(INDIRECT(ADDRESS(2,COLUMN())),OFFSET($BN$2,0,0,ROW()-1,60),ROW()-1,FALSE))</f>
        <v>2024.6596</v>
      </c>
      <c r="AS12">
        <f ca="1">IF(AND($B$31=1,LEN($AS$34)&gt;0),$AS$34/1000,HLOOKUP(INDIRECT(ADDRESS(2,COLUMN())),OFFSET($BN$2,0,0,ROW()-1,60),ROW()-1,FALSE))</f>
        <v>2014.9929999999999</v>
      </c>
      <c r="AT12">
        <f ca="1">IF(AND($B$31=1,LEN($AT$34)&gt;0),$AT$34/1000,HLOOKUP(INDIRECT(ADDRESS(2,COLUMN())),OFFSET($BN$2,0,0,ROW()-1,60),ROW()-1,FALSE))</f>
        <v>2006.2547</v>
      </c>
      <c r="AU12">
        <f ca="1">IF(AND($B$31=1,LEN($AU$34)&gt;0),$AU$34/1000,HLOOKUP(INDIRECT(ADDRESS(2,COLUMN())),OFFSET($BN$2,0,0,ROW()-1,60),ROW()-1,FALSE))</f>
        <v>1986.5365999999999</v>
      </c>
      <c r="AV12">
        <f ca="1">IF(AND($B$31=1,LEN($AV$34)&gt;0),$AV$34/1000,HLOOKUP(INDIRECT(ADDRESS(2,COLUMN())),OFFSET($BN$2,0,0,ROW()-1,60),ROW()-1,FALSE))</f>
        <v>1981.4085</v>
      </c>
      <c r="AW12">
        <f ca="1">IF(AND($B$31=1,LEN($AW$34)&gt;0),$AW$34/1000,HLOOKUP(INDIRECT(ADDRESS(2,COLUMN())),OFFSET($BN$2,0,0,ROW()-1,60),ROW()-1,FALSE))</f>
        <v>1969.5667000000001</v>
      </c>
      <c r="AX12">
        <f ca="1">IF(AND($B$31=1,LEN($AX$34)&gt;0),$AX$34/1000,HLOOKUP(INDIRECT(ADDRESS(2,COLUMN())),OFFSET($BN$2,0,0,ROW()-1,60),ROW()-1,FALSE))</f>
        <v>1959.3503000000001</v>
      </c>
      <c r="AY12">
        <f ca="1">IF(AND($B$31=1,LEN($AY$34)&gt;0),$AY$34/1000,HLOOKUP(INDIRECT(ADDRESS(2,COLUMN())),OFFSET($BN$2,0,0,ROW()-1,60),ROW()-1,FALSE))</f>
        <v>1952.1088</v>
      </c>
      <c r="AZ12">
        <f ca="1">IF(AND($B$31=1,LEN($AZ$34)&gt;0),$AZ$34/1000,HLOOKUP(INDIRECT(ADDRESS(2,COLUMN())),OFFSET($BN$2,0,0,ROW()-1,60),ROW()-1,FALSE))</f>
        <v>1946.3308999999999</v>
      </c>
      <c r="BA12">
        <f ca="1">IF(AND($B$31=1,LEN($BA$34)&gt;0),$BA$34/1000,HLOOKUP(INDIRECT(ADDRESS(2,COLUMN())),OFFSET($BN$2,0,0,ROW()-1,60),ROW()-1,FALSE))</f>
        <v>1941.221</v>
      </c>
      <c r="BB12">
        <f ca="1">IF(AND($B$31=1,LEN($BB$34)&gt;0),$BB$34/1000,HLOOKUP(INDIRECT(ADDRESS(2,COLUMN())),OFFSET($BN$2,0,0,ROW()-1,60),ROW()-1,FALSE))</f>
        <v>1931.8702000000001</v>
      </c>
      <c r="BC12">
        <f ca="1">IF(AND($B$31=1,LEN($BC$34)&gt;0),$BC$34/1000,HLOOKUP(INDIRECT(ADDRESS(2,COLUMN())),OFFSET($BN$2,0,0,ROW()-1,60),ROW()-1,FALSE))</f>
        <v>1924.6826000000001</v>
      </c>
      <c r="BD12">
        <f ca="1">IF(AND($B$31=1,LEN($BD$34)&gt;0),$BD$34/1000,HLOOKUP(INDIRECT(ADDRESS(2,COLUMN())),OFFSET($BN$2,0,0,ROW()-1,60),ROW()-1,FALSE))</f>
        <v>1920.0997</v>
      </c>
      <c r="BE12">
        <f ca="1">IF(AND($B$31=1,LEN($BE$34)&gt;0),$BE$34/1000,HLOOKUP(INDIRECT(ADDRESS(2,COLUMN())),OFFSET($BN$2,0,0,ROW()-1,60),ROW()-1,FALSE))</f>
        <v>1922.1627000000001</v>
      </c>
      <c r="BF12">
        <f ca="1">IF(AND($B$31=1,LEN($BF$34)&gt;0),$BF$34/1000,HLOOKUP(INDIRECT(ADDRESS(2,COLUMN())),OFFSET($BN$2,0,0,ROW()-1,60),ROW()-1,FALSE))</f>
        <v>1919.8425</v>
      </c>
      <c r="BG12">
        <f ca="1">IF(AND($B$31=1,LEN($BG$34)&gt;0),$BG$34/1000,HLOOKUP(INDIRECT(ADDRESS(2,COLUMN())),OFFSET($BN$2,0,0,ROW()-1,60),ROW()-1,FALSE))</f>
        <v>1921.5766000000001</v>
      </c>
      <c r="BH12">
        <f ca="1">IF(AND($B$31=1,LEN($BH$34)&gt;0),$BH$34/1000,HLOOKUP(INDIRECT(ADDRESS(2,COLUMN())),OFFSET($BN$2,0,0,ROW()-1,60),ROW()-1,FALSE))</f>
        <v>1915.3692000000001</v>
      </c>
      <c r="BI12">
        <f ca="1">IF(AND($B$31=1,LEN($BI$34)&gt;0),$BI$34/1000,HLOOKUP(INDIRECT(ADDRESS(2,COLUMN())),OFFSET($BN$2,0,0,ROW()-1,60),ROW()-1,FALSE))</f>
        <v>1911.7589</v>
      </c>
      <c r="BJ12">
        <f ca="1">IF(AND($B$31=1,LEN($BJ$34)&gt;0),$BJ$34/1000,HLOOKUP(INDIRECT(ADDRESS(2,COLUMN())),OFFSET($BN$2,0,0,ROW()-1,60),ROW()-1,FALSE))</f>
        <v>1907.5539000000001</v>
      </c>
      <c r="BK12">
        <f ca="1">IF(AND($B$31=1,LEN($BK$34)&gt;0),$BK$34/1000,HLOOKUP(INDIRECT(ADDRESS(2,COLUMN())),OFFSET($BN$2,0,0,ROW()-1,60),ROW()-1,FALSE))</f>
        <v>1899.2257</v>
      </c>
      <c r="BL12">
        <f ca="1">IF(AND($B$31=1,LEN($BL$34)&gt;0),$BL$34/1000,HLOOKUP(INDIRECT(ADDRESS(2,COLUMN())),OFFSET($BN$2,0,0,ROW()-1,60),ROW()-1,FALSE))</f>
        <v>1889.6495</v>
      </c>
      <c r="BM12">
        <f ca="1">IF(AND($B$31=1,LEN($BM$34)&gt;0),$BM$34/1000,HLOOKUP(INDIRECT(ADDRESS(2,COLUMN())),OFFSET($BN$2,0,0,ROW()-1,60),ROW()-1,FALSE))</f>
        <v>1876.8776</v>
      </c>
      <c r="BN12" t="str">
        <f>""</f>
        <v/>
      </c>
      <c r="BO12">
        <f>2888.1282</f>
        <v>2888.1282000000001</v>
      </c>
      <c r="BP12">
        <f>2858.7927</f>
        <v>2858.7927</v>
      </c>
      <c r="BQ12">
        <f>2834.7721</f>
        <v>2834.7721000000001</v>
      </c>
      <c r="BR12">
        <f>2805.52</f>
        <v>2805.52</v>
      </c>
      <c r="BS12">
        <f>2780.9173</f>
        <v>2780.9173000000001</v>
      </c>
      <c r="BT12">
        <f>2752.5781</f>
        <v>2752.5781000000002</v>
      </c>
      <c r="BU12">
        <f>2723.3114</f>
        <v>2723.3114</v>
      </c>
      <c r="BV12">
        <f>2693.8129</f>
        <v>2693.8128999999999</v>
      </c>
      <c r="BW12">
        <f>2657.7057</f>
        <v>2657.7057</v>
      </c>
      <c r="BX12">
        <f>2620.6016</f>
        <v>2620.6016</v>
      </c>
      <c r="BY12">
        <f>2576.7203</f>
        <v>2576.7203</v>
      </c>
      <c r="BZ12">
        <f>2517.643</f>
        <v>2517.643</v>
      </c>
      <c r="CA12">
        <f>2458.7145</f>
        <v>2458.7145</v>
      </c>
      <c r="CB12">
        <f>2401.025</f>
        <v>2401.0250000000001</v>
      </c>
      <c r="CC12">
        <f>2360.2405</f>
        <v>2360.2404999999999</v>
      </c>
      <c r="CD12">
        <f>2277.7042</f>
        <v>2277.7042000000001</v>
      </c>
      <c r="CE12">
        <f>2196.5321</f>
        <v>2196.5320999999999</v>
      </c>
      <c r="CF12">
        <f>2192.7202</f>
        <v>2192.7202000000002</v>
      </c>
      <c r="CG12">
        <f>2221.9214</f>
        <v>2221.9214000000002</v>
      </c>
      <c r="CH12">
        <f>2019.9591</f>
        <v>2019.9591</v>
      </c>
      <c r="CI12">
        <f>2204.7461</f>
        <v>2204.7460999999998</v>
      </c>
      <c r="CJ12">
        <f>2273.1355</f>
        <v>2273.1354999999999</v>
      </c>
      <c r="CK12">
        <f>2262.406</f>
        <v>2262.4059999999999</v>
      </c>
      <c r="CL12">
        <f>2243.8448</f>
        <v>2243.8447999999999</v>
      </c>
      <c r="CM12">
        <f>2223.8868</f>
        <v>2223.8868000000002</v>
      </c>
      <c r="CN12">
        <f>2211.9023</f>
        <v>2211.9023000000002</v>
      </c>
      <c r="CO12">
        <f>2192.1088</f>
        <v>2192.1088</v>
      </c>
      <c r="CP12">
        <f>2179.0635</f>
        <v>2179.0635000000002</v>
      </c>
      <c r="CQ12">
        <f>2162.9735</f>
        <v>2162.9735000000001</v>
      </c>
      <c r="CR12">
        <f>2146.671</f>
        <v>2146.6709999999998</v>
      </c>
      <c r="CS12">
        <f>2127.6025</f>
        <v>2127.6025</v>
      </c>
      <c r="CT12">
        <f>2115.5038</f>
        <v>2115.5038</v>
      </c>
      <c r="CU12">
        <f>2097.6108</f>
        <v>2097.6107999999999</v>
      </c>
      <c r="CV12">
        <f>2079.8827</f>
        <v>2079.8827000000001</v>
      </c>
      <c r="CW12">
        <f>2060.1064</f>
        <v>2060.1064000000001</v>
      </c>
      <c r="CX12">
        <f>2046.0933</f>
        <v>2046.0933</v>
      </c>
      <c r="CY12">
        <f>2035.5053</f>
        <v>2035.5053</v>
      </c>
      <c r="CZ12">
        <f>2024.6596</f>
        <v>2024.6596</v>
      </c>
      <c r="DA12">
        <f>2014.993</f>
        <v>2014.9929999999999</v>
      </c>
      <c r="DB12">
        <f>2006.2547</f>
        <v>2006.2547</v>
      </c>
      <c r="DC12">
        <f>1986.5366</f>
        <v>1986.5365999999999</v>
      </c>
      <c r="DD12">
        <f>1981.4085</f>
        <v>1981.4085</v>
      </c>
      <c r="DE12">
        <f>1969.5667</f>
        <v>1969.5667000000001</v>
      </c>
      <c r="DF12">
        <f>1959.3503</f>
        <v>1959.3503000000001</v>
      </c>
      <c r="DG12">
        <f>1952.1088</f>
        <v>1952.1088</v>
      </c>
      <c r="DH12">
        <f>1946.3309</f>
        <v>1946.3308999999999</v>
      </c>
      <c r="DI12">
        <f>1941.221</f>
        <v>1941.221</v>
      </c>
      <c r="DJ12">
        <f>1931.8702</f>
        <v>1931.8702000000001</v>
      </c>
      <c r="DK12">
        <f>1924.6826</f>
        <v>1924.6826000000001</v>
      </c>
      <c r="DL12">
        <f>1920.0997</f>
        <v>1920.0997</v>
      </c>
      <c r="DM12">
        <f>1922.1627</f>
        <v>1922.1627000000001</v>
      </c>
      <c r="DN12">
        <f>1919.8425</f>
        <v>1919.8425</v>
      </c>
      <c r="DO12">
        <f>1921.5766</f>
        <v>1921.5766000000001</v>
      </c>
      <c r="DP12">
        <f>1915.3692</f>
        <v>1915.3692000000001</v>
      </c>
      <c r="DQ12">
        <f>1911.7589</f>
        <v>1911.7589</v>
      </c>
      <c r="DR12">
        <f>1907.5539</f>
        <v>1907.5539000000001</v>
      </c>
      <c r="DS12">
        <f>1899.2257</f>
        <v>1899.2257</v>
      </c>
      <c r="DT12">
        <f>1889.6495</f>
        <v>1889.6495</v>
      </c>
      <c r="DU12">
        <f>1876.8776</f>
        <v>1876.8776</v>
      </c>
    </row>
    <row r="13" spans="1:125" x14ac:dyDescent="0.25">
      <c r="A13" t="str">
        <f>"        Gross Fixed Capital Formation"</f>
        <v xml:space="preserve">        Gross Fixed Capital Formation</v>
      </c>
      <c r="B13" t="str">
        <f>"ENCPEAS Index"</f>
        <v>ENCPEAS Index</v>
      </c>
      <c r="E13" t="str">
        <f>"Expression"</f>
        <v>Expression</v>
      </c>
      <c r="F13" t="str">
        <f ca="1">IF(AND($B$31=1,LEN($F$35)&gt;0),$F$35/1000,HLOOKUP(INDIRECT(ADDRESS(2,COLUMN())),OFFSET($BN$2,0,0,ROW()-1,60),ROW()-1,FALSE))</f>
        <v/>
      </c>
      <c r="G13">
        <f ca="1">IF(AND($B$31=1,LEN($G$35)&gt;0),$G$35/1000,HLOOKUP(INDIRECT(ADDRESS(2,COLUMN())),OFFSET($BN$2,0,0,ROW()-1,60),ROW()-1,FALSE))</f>
        <v>836.30539999999996</v>
      </c>
      <c r="H13">
        <f ca="1">IF(AND($B$31=1,LEN($H$35)&gt;0),$H$35/1000,HLOOKUP(INDIRECT(ADDRESS(2,COLUMN())),OFFSET($BN$2,0,0,ROW()-1,60),ROW()-1,FALSE))</f>
        <v>828.5335</v>
      </c>
      <c r="I13">
        <f ca="1">IF(AND($B$31=1,LEN($I$35)&gt;0),$I$35/1000,HLOOKUP(INDIRECT(ADDRESS(2,COLUMN())),OFFSET($BN$2,0,0,ROW()-1,60),ROW()-1,FALSE))</f>
        <v>813.35320000000002</v>
      </c>
      <c r="J13">
        <f ca="1">IF(AND($B$31=1,LEN($J$35)&gt;0),$J$35/1000,HLOOKUP(INDIRECT(ADDRESS(2,COLUMN())),OFFSET($BN$2,0,0,ROW()-1,60),ROW()-1,FALSE))</f>
        <v>780.63009999999997</v>
      </c>
      <c r="K13">
        <f ca="1">IF(AND($B$31=1,LEN($K$35)&gt;0),$K$35/1000,HLOOKUP(INDIRECT(ADDRESS(2,COLUMN())),OFFSET($BN$2,0,0,ROW()-1,60),ROW()-1,FALSE))</f>
        <v>789.96659999999997</v>
      </c>
      <c r="L13">
        <f ca="1">IF(AND($B$31=1,LEN($L$35)&gt;0),$L$35/1000,HLOOKUP(INDIRECT(ADDRESS(2,COLUMN())),OFFSET($BN$2,0,0,ROW()-1,60),ROW()-1,FALSE))</f>
        <v>815.92309999999998</v>
      </c>
      <c r="M13">
        <f ca="1">IF(AND($B$31=1,LEN($M$35)&gt;0),$M$35/1000,HLOOKUP(INDIRECT(ADDRESS(2,COLUMN())),OFFSET($BN$2,0,0,ROW()-1,60),ROW()-1,FALSE))</f>
        <v>806.47879999999998</v>
      </c>
      <c r="N13">
        <f ca="1">IF(AND($B$31=1,LEN($N$35)&gt;0),$N$35/1000,HLOOKUP(INDIRECT(ADDRESS(2,COLUMN())),OFFSET($BN$2,0,0,ROW()-1,60),ROW()-1,FALSE))</f>
        <v>817.13779999999997</v>
      </c>
      <c r="O13">
        <f ca="1">IF(AND($B$31=1,LEN($O$35)&gt;0),$O$35/1000,HLOOKUP(INDIRECT(ADDRESS(2,COLUMN())),OFFSET($BN$2,0,0,ROW()-1,60),ROW()-1,FALSE))</f>
        <v>820.86450000000002</v>
      </c>
      <c r="P13">
        <f ca="1">IF(AND($B$31=1,LEN($P$35)&gt;0),$P$35/1000,HLOOKUP(INDIRECT(ADDRESS(2,COLUMN())),OFFSET($BN$2,0,0,ROW()-1,60),ROW()-1,FALSE))</f>
        <v>819.10680000000002</v>
      </c>
      <c r="Q13">
        <f ca="1">IF(AND($B$31=1,LEN($Q$35)&gt;0),$Q$35/1000,HLOOKUP(INDIRECT(ADDRESS(2,COLUMN())),OFFSET($BN$2,0,0,ROW()-1,60),ROW()-1,FALSE))</f>
        <v>843.88059999999996</v>
      </c>
      <c r="R13">
        <f ca="1">IF(AND($B$31=1,LEN($R$35)&gt;0),$R$35/1000,HLOOKUP(INDIRECT(ADDRESS(2,COLUMN())),OFFSET($BN$2,0,0,ROW()-1,60),ROW()-1,FALSE))</f>
        <v>819.97670000000005</v>
      </c>
      <c r="S13">
        <f ca="1">IF(AND($B$31=1,LEN($S$35)&gt;0),$S$35/1000,HLOOKUP(INDIRECT(ADDRESS(2,COLUMN())),OFFSET($BN$2,0,0,ROW()-1,60),ROW()-1,FALSE))</f>
        <v>781.41840000000002</v>
      </c>
      <c r="T13">
        <f ca="1">IF(AND($B$31=1,LEN($T$35)&gt;0),$T$35/1000,HLOOKUP(INDIRECT(ADDRESS(2,COLUMN())),OFFSET($BN$2,0,0,ROW()-1,60),ROW()-1,FALSE))</f>
        <v>771.37350000000004</v>
      </c>
      <c r="U13">
        <f ca="1">IF(AND($B$31=1,LEN($U$35)&gt;0),$U$35/1000,HLOOKUP(INDIRECT(ADDRESS(2,COLUMN())),OFFSET($BN$2,0,0,ROW()-1,60),ROW()-1,FALSE))</f>
        <v>706.94979999999998</v>
      </c>
      <c r="V13">
        <f ca="1">IF(AND($B$31=1,LEN($V$35)&gt;0),$V$35/1000,HLOOKUP(INDIRECT(ADDRESS(2,COLUMN())),OFFSET($BN$2,0,0,ROW()-1,60),ROW()-1,FALSE))</f>
        <v>692.55529999999999</v>
      </c>
      <c r="W13">
        <f ca="1">IF(AND($B$31=1,LEN($W$35)&gt;0),$W$35/1000,HLOOKUP(INDIRECT(ADDRESS(2,COLUMN())),OFFSET($BN$2,0,0,ROW()-1,60),ROW()-1,FALSE))</f>
        <v>686.52930000000003</v>
      </c>
      <c r="X13">
        <f ca="1">IF(AND($B$31=1,LEN($X$35)&gt;0),$X$35/1000,HLOOKUP(INDIRECT(ADDRESS(2,COLUMN())),OFFSET($BN$2,0,0,ROW()-1,60),ROW()-1,FALSE))</f>
        <v>666.08079999999995</v>
      </c>
      <c r="Y13">
        <f ca="1">IF(AND($B$31=1,LEN($Y$35)&gt;0),$Y$35/1000,HLOOKUP(INDIRECT(ADDRESS(2,COLUMN())),OFFSET($BN$2,0,0,ROW()-1,60),ROW()-1,FALSE))</f>
        <v>608.8569</v>
      </c>
      <c r="Z13">
        <f ca="1">IF(AND($B$31=1,LEN($Z$35)&gt;0),$Z$35/1000,HLOOKUP(INDIRECT(ADDRESS(2,COLUMN())),OFFSET($BN$2,0,0,ROW()-1,60),ROW()-1,FALSE))</f>
        <v>570.30039999999997</v>
      </c>
      <c r="AA13">
        <f ca="1">IF(AND($B$31=1,LEN($AA$35)&gt;0),$AA$35/1000,HLOOKUP(INDIRECT(ADDRESS(2,COLUMN())),OFFSET($BN$2,0,0,ROW()-1,60),ROW()-1,FALSE))</f>
        <v>705.33839999999998</v>
      </c>
      <c r="AB13">
        <f ca="1">IF(AND($B$31=1,LEN($AB$35)&gt;0),$AB$35/1000,HLOOKUP(INDIRECT(ADDRESS(2,COLUMN())),OFFSET($BN$2,0,0,ROW()-1,60),ROW()-1,FALSE))</f>
        <v>720.67330000000004</v>
      </c>
      <c r="AC13">
        <f ca="1">IF(AND($B$31=1,LEN($AC$35)&gt;0),$AC$35/1000,HLOOKUP(INDIRECT(ADDRESS(2,COLUMN())),OFFSET($BN$2,0,0,ROW()-1,60),ROW()-1,FALSE))</f>
        <v>653.77380000000005</v>
      </c>
      <c r="AD13">
        <f ca="1">IF(AND($B$31=1,LEN($AD$35)&gt;0),$AD$35/1000,HLOOKUP(INDIRECT(ADDRESS(2,COLUMN())),OFFSET($BN$2,0,0,ROW()-1,60),ROW()-1,FALSE))</f>
        <v>693.27229999999997</v>
      </c>
      <c r="AE13">
        <f ca="1">IF(AND($B$31=1,LEN($AE$35)&gt;0),$AE$35/1000,HLOOKUP(INDIRECT(ADDRESS(2,COLUMN())),OFFSET($BN$2,0,0,ROW()-1,60),ROW()-1,FALSE))</f>
        <v>650.22349999999994</v>
      </c>
      <c r="AF13">
        <f ca="1">IF(AND($B$31=1,LEN($AF$35)&gt;0),$AF$35/1000,HLOOKUP(INDIRECT(ADDRESS(2,COLUMN())),OFFSET($BN$2,0,0,ROW()-1,60),ROW()-1,FALSE))</f>
        <v>667.7749</v>
      </c>
      <c r="AG13">
        <f ca="1">IF(AND($B$31=1,LEN($AG$35)&gt;0),$AG$35/1000,HLOOKUP(INDIRECT(ADDRESS(2,COLUMN())),OFFSET($BN$2,0,0,ROW()-1,60),ROW()-1,FALSE))</f>
        <v>635.66780000000006</v>
      </c>
      <c r="AH13">
        <f ca="1">IF(AND($B$31=1,LEN($AH$35)&gt;0),$AH$35/1000,HLOOKUP(INDIRECT(ADDRESS(2,COLUMN())),OFFSET($BN$2,0,0,ROW()-1,60),ROW()-1,FALSE))</f>
        <v>621.37549999999999</v>
      </c>
      <c r="AI13">
        <f ca="1">IF(AND($B$31=1,LEN($AI$35)&gt;0),$AI$35/1000,HLOOKUP(INDIRECT(ADDRESS(2,COLUMN())),OFFSET($BN$2,0,0,ROW()-1,60),ROW()-1,FALSE))</f>
        <v>609.05859999999996</v>
      </c>
      <c r="AJ13">
        <f ca="1">IF(AND($B$31=1,LEN($AJ$35)&gt;0),$AJ$35/1000,HLOOKUP(INDIRECT(ADDRESS(2,COLUMN())),OFFSET($BN$2,0,0,ROW()-1,60),ROW()-1,FALSE))</f>
        <v>603.20799999999997</v>
      </c>
      <c r="AK13">
        <f ca="1">IF(AND($B$31=1,LEN($AK$35)&gt;0),$AK$35/1000,HLOOKUP(INDIRECT(ADDRESS(2,COLUMN())),OFFSET($BN$2,0,0,ROW()-1,60),ROW()-1,FALSE))</f>
        <v>591.23239999999998</v>
      </c>
      <c r="AL13">
        <f ca="1">IF(AND($B$31=1,LEN($AL$35)&gt;0),$AL$35/1000,HLOOKUP(INDIRECT(ADDRESS(2,COLUMN())),OFFSET($BN$2,0,0,ROW()-1,60),ROW()-1,FALSE))</f>
        <v>618.67259999999999</v>
      </c>
      <c r="AM13">
        <f ca="1">IF(AND($B$31=1,LEN($AM$35)&gt;0),$AM$35/1000,HLOOKUP(INDIRECT(ADDRESS(2,COLUMN())),OFFSET($BN$2,0,0,ROW()-1,60),ROW()-1,FALSE))</f>
        <v>572.98209999999995</v>
      </c>
      <c r="AN13">
        <f ca="1">IF(AND($B$31=1,LEN($AN$35)&gt;0),$AN$35/1000,HLOOKUP(INDIRECT(ADDRESS(2,COLUMN())),OFFSET($BN$2,0,0,ROW()-1,60),ROW()-1,FALSE))</f>
        <v>576.55790000000002</v>
      </c>
      <c r="AO13">
        <f ca="1">IF(AND($B$31=1,LEN($AO$35)&gt;0),$AO$35/1000,HLOOKUP(INDIRECT(ADDRESS(2,COLUMN())),OFFSET($BN$2,0,0,ROW()-1,60),ROW()-1,FALSE))</f>
        <v>559.40959999999995</v>
      </c>
      <c r="AP13">
        <f ca="1">IF(AND($B$31=1,LEN($AP$35)&gt;0),$AP$35/1000,HLOOKUP(INDIRECT(ADDRESS(2,COLUMN())),OFFSET($BN$2,0,0,ROW()-1,60),ROW()-1,FALSE))</f>
        <v>550.28589999999997</v>
      </c>
      <c r="AQ13">
        <f ca="1">IF(AND($B$31=1,LEN($AQ$35)&gt;0),$AQ$35/1000,HLOOKUP(INDIRECT(ADDRESS(2,COLUMN())),OFFSET($BN$2,0,0,ROW()-1,60),ROW()-1,FALSE))</f>
        <v>551.29939999999999</v>
      </c>
      <c r="AR13">
        <f ca="1">IF(AND($B$31=1,LEN($AR$35)&gt;0),$AR$35/1000,HLOOKUP(INDIRECT(ADDRESS(2,COLUMN())),OFFSET($BN$2,0,0,ROW()-1,60),ROW()-1,FALSE))</f>
        <v>549.65570000000002</v>
      </c>
      <c r="AS13">
        <f ca="1">IF(AND($B$31=1,LEN($AS$35)&gt;0),$AS$35/1000,HLOOKUP(INDIRECT(ADDRESS(2,COLUMN())),OFFSET($BN$2,0,0,ROW()-1,60),ROW()-1,FALSE))</f>
        <v>532.24639999999999</v>
      </c>
      <c r="AT13">
        <f ca="1">IF(AND($B$31=1,LEN($AT$35)&gt;0),$AT$35/1000,HLOOKUP(INDIRECT(ADDRESS(2,COLUMN())),OFFSET($BN$2,0,0,ROW()-1,60),ROW()-1,FALSE))</f>
        <v>550.19470000000001</v>
      </c>
      <c r="AU13">
        <f ca="1">IF(AND($B$31=1,LEN($AU$35)&gt;0),$AU$35/1000,HLOOKUP(INDIRECT(ADDRESS(2,COLUMN())),OFFSET($BN$2,0,0,ROW()-1,60),ROW()-1,FALSE))</f>
        <v>514.62379999999996</v>
      </c>
      <c r="AV13">
        <f ca="1">IF(AND($B$31=1,LEN($AV$35)&gt;0),$AV$35/1000,HLOOKUP(INDIRECT(ADDRESS(2,COLUMN())),OFFSET($BN$2,0,0,ROW()-1,60),ROW()-1,FALSE))</f>
        <v>508.73989999999998</v>
      </c>
      <c r="AW13">
        <f ca="1">IF(AND($B$31=1,LEN($AW$35)&gt;0),$AW$35/1000,HLOOKUP(INDIRECT(ADDRESS(2,COLUMN())),OFFSET($BN$2,0,0,ROW()-1,60),ROW()-1,FALSE))</f>
        <v>514.25149999999996</v>
      </c>
      <c r="AX13">
        <f ca="1">IF(AND($B$31=1,LEN($AX$35)&gt;0),$AX$35/1000,HLOOKUP(INDIRECT(ADDRESS(2,COLUMN())),OFFSET($BN$2,0,0,ROW()-1,60),ROW()-1,FALSE))</f>
        <v>511.05599999999998</v>
      </c>
      <c r="AY13">
        <f ca="1">IF(AND($B$31=1,LEN($AY$35)&gt;0),$AY$35/1000,HLOOKUP(INDIRECT(ADDRESS(2,COLUMN())),OFFSET($BN$2,0,0,ROW()-1,60),ROW()-1,FALSE))</f>
        <v>509.18209999999999</v>
      </c>
      <c r="AZ13">
        <f ca="1">IF(AND($B$31=1,LEN($AZ$35)&gt;0),$AZ$35/1000,HLOOKUP(INDIRECT(ADDRESS(2,COLUMN())),OFFSET($BN$2,0,0,ROW()-1,60),ROW()-1,FALSE))</f>
        <v>496.0573</v>
      </c>
      <c r="BA13">
        <f ca="1">IF(AND($B$31=1,LEN($BA$35)&gt;0),$BA$35/1000,HLOOKUP(INDIRECT(ADDRESS(2,COLUMN())),OFFSET($BN$2,0,0,ROW()-1,60),ROW()-1,FALSE))</f>
        <v>496.2414</v>
      </c>
      <c r="BB13">
        <f ca="1">IF(AND($B$31=1,LEN($BB$35)&gt;0),$BB$35/1000,HLOOKUP(INDIRECT(ADDRESS(2,COLUMN())),OFFSET($BN$2,0,0,ROW()-1,60),ROW()-1,FALSE))</f>
        <v>489.26900000000001</v>
      </c>
      <c r="BC13">
        <f ca="1">IF(AND($B$31=1,LEN($BC$35)&gt;0),$BC$35/1000,HLOOKUP(INDIRECT(ADDRESS(2,COLUMN())),OFFSET($BN$2,0,0,ROW()-1,60),ROW()-1,FALSE))</f>
        <v>478.24029999999999</v>
      </c>
      <c r="BD13">
        <f ca="1">IF(AND($B$31=1,LEN($BD$35)&gt;0),$BD$35/1000,HLOOKUP(INDIRECT(ADDRESS(2,COLUMN())),OFFSET($BN$2,0,0,ROW()-1,60),ROW()-1,FALSE))</f>
        <v>481.78960000000001</v>
      </c>
      <c r="BE13">
        <f ca="1">IF(AND($B$31=1,LEN($BE$35)&gt;0),$BE$35/1000,HLOOKUP(INDIRECT(ADDRESS(2,COLUMN())),OFFSET($BN$2,0,0,ROW()-1,60),ROW()-1,FALSE))</f>
        <v>488.33499999999998</v>
      </c>
      <c r="BF13">
        <f ca="1">IF(AND($B$31=1,LEN($BF$35)&gt;0),$BF$35/1000,HLOOKUP(INDIRECT(ADDRESS(2,COLUMN())),OFFSET($BN$2,0,0,ROW()-1,60),ROW()-1,FALSE))</f>
        <v>497.24630000000002</v>
      </c>
      <c r="BG13">
        <f ca="1">IF(AND($B$31=1,LEN($BG$35)&gt;0),$BG$35/1000,HLOOKUP(INDIRECT(ADDRESS(2,COLUMN())),OFFSET($BN$2,0,0,ROW()-1,60),ROW()-1,FALSE))</f>
        <v>506.08569999999997</v>
      </c>
      <c r="BH13">
        <f ca="1">IF(AND($B$31=1,LEN($BH$35)&gt;0),$BH$35/1000,HLOOKUP(INDIRECT(ADDRESS(2,COLUMN())),OFFSET($BN$2,0,0,ROW()-1,60),ROW()-1,FALSE))</f>
        <v>516.2885</v>
      </c>
      <c r="BI13">
        <f ca="1">IF(AND($B$31=1,LEN($BI$35)&gt;0),$BI$35/1000,HLOOKUP(INDIRECT(ADDRESS(2,COLUMN())),OFFSET($BN$2,0,0,ROW()-1,60),ROW()-1,FALSE))</f>
        <v>528.44290000000001</v>
      </c>
      <c r="BJ13">
        <f ca="1">IF(AND($B$31=1,LEN($BJ$35)&gt;0),$BJ$35/1000,HLOOKUP(INDIRECT(ADDRESS(2,COLUMN())),OFFSET($BN$2,0,0,ROW()-1,60),ROW()-1,FALSE))</f>
        <v>531.34749999999997</v>
      </c>
      <c r="BK13">
        <f ca="1">IF(AND($B$31=1,LEN($BK$35)&gt;0),$BK$35/1000,HLOOKUP(INDIRECT(ADDRESS(2,COLUMN())),OFFSET($BN$2,0,0,ROW()-1,60),ROW()-1,FALSE))</f>
        <v>539.99130000000002</v>
      </c>
      <c r="BL13">
        <f ca="1">IF(AND($B$31=1,LEN($BL$35)&gt;0),$BL$35/1000,HLOOKUP(INDIRECT(ADDRESS(2,COLUMN())),OFFSET($BN$2,0,0,ROW()-1,60),ROW()-1,FALSE))</f>
        <v>511.10239999999999</v>
      </c>
      <c r="BM13">
        <f ca="1">IF(AND($B$31=1,LEN($BM$35)&gt;0),$BM$35/1000,HLOOKUP(INDIRECT(ADDRESS(2,COLUMN())),OFFSET($BN$2,0,0,ROW()-1,60),ROW()-1,FALSE))</f>
        <v>503.63810000000001</v>
      </c>
      <c r="BN13" t="str">
        <f>""</f>
        <v/>
      </c>
      <c r="BO13">
        <f>836.3054</f>
        <v>836.30539999999996</v>
      </c>
      <c r="BP13">
        <f>828.5335</f>
        <v>828.5335</v>
      </c>
      <c r="BQ13">
        <f>813.3532</f>
        <v>813.35320000000002</v>
      </c>
      <c r="BR13">
        <f>780.6301</f>
        <v>780.63009999999997</v>
      </c>
      <c r="BS13">
        <f>789.9666</f>
        <v>789.96659999999997</v>
      </c>
      <c r="BT13">
        <f>815.9231</f>
        <v>815.92309999999998</v>
      </c>
      <c r="BU13">
        <f>806.4788</f>
        <v>806.47879999999998</v>
      </c>
      <c r="BV13">
        <f>817.1378</f>
        <v>817.13779999999997</v>
      </c>
      <c r="BW13">
        <f>820.8645</f>
        <v>820.86450000000002</v>
      </c>
      <c r="BX13">
        <f>819.1068</f>
        <v>819.10680000000002</v>
      </c>
      <c r="BY13">
        <f>843.8806</f>
        <v>843.88059999999996</v>
      </c>
      <c r="BZ13">
        <f>819.9767</f>
        <v>819.97670000000005</v>
      </c>
      <c r="CA13">
        <f>781.4184</f>
        <v>781.41840000000002</v>
      </c>
      <c r="CB13">
        <f>771.3735</f>
        <v>771.37350000000004</v>
      </c>
      <c r="CC13">
        <f>706.9498</f>
        <v>706.94979999999998</v>
      </c>
      <c r="CD13">
        <f>692.5553</f>
        <v>692.55529999999999</v>
      </c>
      <c r="CE13">
        <f>686.5293</f>
        <v>686.52930000000003</v>
      </c>
      <c r="CF13">
        <f>666.0808</f>
        <v>666.08079999999995</v>
      </c>
      <c r="CG13">
        <f>608.8569</f>
        <v>608.8569</v>
      </c>
      <c r="CH13">
        <f>570.3004</f>
        <v>570.30039999999997</v>
      </c>
      <c r="CI13">
        <f>705.3384</f>
        <v>705.33839999999998</v>
      </c>
      <c r="CJ13">
        <f>720.6733</f>
        <v>720.67330000000004</v>
      </c>
      <c r="CK13">
        <f>653.7738</f>
        <v>653.77380000000005</v>
      </c>
      <c r="CL13">
        <f>693.2723</f>
        <v>693.27229999999997</v>
      </c>
      <c r="CM13">
        <f>650.2235</f>
        <v>650.22349999999994</v>
      </c>
      <c r="CN13">
        <f>667.7749</f>
        <v>667.7749</v>
      </c>
      <c r="CO13">
        <f>635.6678</f>
        <v>635.66780000000006</v>
      </c>
      <c r="CP13">
        <f>621.3755</f>
        <v>621.37549999999999</v>
      </c>
      <c r="CQ13">
        <f>609.0586</f>
        <v>609.05859999999996</v>
      </c>
      <c r="CR13">
        <f>603.208</f>
        <v>603.20799999999997</v>
      </c>
      <c r="CS13">
        <f>591.2324</f>
        <v>591.23239999999998</v>
      </c>
      <c r="CT13">
        <f>618.6726</f>
        <v>618.67259999999999</v>
      </c>
      <c r="CU13">
        <f>572.9821</f>
        <v>572.98209999999995</v>
      </c>
      <c r="CV13">
        <f>576.5579</f>
        <v>576.55790000000002</v>
      </c>
      <c r="CW13">
        <f>559.4096</f>
        <v>559.40959999999995</v>
      </c>
      <c r="CX13">
        <f>550.2859</f>
        <v>550.28589999999997</v>
      </c>
      <c r="CY13">
        <f>551.2994</f>
        <v>551.29939999999999</v>
      </c>
      <c r="CZ13">
        <f>549.6557</f>
        <v>549.65570000000002</v>
      </c>
      <c r="DA13">
        <f>532.2464</f>
        <v>532.24639999999999</v>
      </c>
      <c r="DB13">
        <f>550.1947</f>
        <v>550.19470000000001</v>
      </c>
      <c r="DC13">
        <f>514.6238</f>
        <v>514.62379999999996</v>
      </c>
      <c r="DD13">
        <f>508.7399</f>
        <v>508.73989999999998</v>
      </c>
      <c r="DE13">
        <f>514.2515</f>
        <v>514.25149999999996</v>
      </c>
      <c r="DF13">
        <f>511.056</f>
        <v>511.05599999999998</v>
      </c>
      <c r="DG13">
        <f>509.1821</f>
        <v>509.18209999999999</v>
      </c>
      <c r="DH13">
        <f>496.0573</f>
        <v>496.0573</v>
      </c>
      <c r="DI13">
        <f>496.2414</f>
        <v>496.2414</v>
      </c>
      <c r="DJ13">
        <f>489.269</f>
        <v>489.26900000000001</v>
      </c>
      <c r="DK13">
        <f>478.2403</f>
        <v>478.24029999999999</v>
      </c>
      <c r="DL13">
        <f>481.7896</f>
        <v>481.78960000000001</v>
      </c>
      <c r="DM13">
        <f>488.335</f>
        <v>488.33499999999998</v>
      </c>
      <c r="DN13">
        <f>497.2463</f>
        <v>497.24630000000002</v>
      </c>
      <c r="DO13">
        <f>506.0857</f>
        <v>506.08569999999997</v>
      </c>
      <c r="DP13">
        <f>516.2885</f>
        <v>516.2885</v>
      </c>
      <c r="DQ13">
        <f>528.4429</f>
        <v>528.44290000000001</v>
      </c>
      <c r="DR13">
        <f>531.3475</f>
        <v>531.34749999999997</v>
      </c>
      <c r="DS13">
        <f>539.9913</f>
        <v>539.99130000000002</v>
      </c>
      <c r="DT13">
        <f>511.1024</f>
        <v>511.10239999999999</v>
      </c>
      <c r="DU13">
        <f>503.6381</f>
        <v>503.63810000000001</v>
      </c>
    </row>
    <row r="14" spans="1:125" x14ac:dyDescent="0.25">
      <c r="A14" t="str">
        <f>"        Exports"</f>
        <v xml:space="preserve">        Exports</v>
      </c>
      <c r="B14" t="str">
        <f>"ECEXEMU Index"</f>
        <v>ECEXEMU Index</v>
      </c>
      <c r="E14" t="str">
        <f>"Expression"</f>
        <v>Expression</v>
      </c>
      <c r="F14" t="str">
        <f ca="1">IF(AND($B$31=1,LEN($F$36)&gt;0),$F$36/1000,HLOOKUP(INDIRECT(ADDRESS(2,COLUMN())),OFFSET($BN$2,0,0,ROW()-1,60),ROW()-1,FALSE))</f>
        <v/>
      </c>
      <c r="G14">
        <f ca="1">IF(AND($B$31=1,LEN($G$36)&gt;0),$G$36/1000,HLOOKUP(INDIRECT(ADDRESS(2,COLUMN())),OFFSET($BN$2,0,0,ROW()-1,60),ROW()-1,FALSE))</f>
        <v>1932.9014999999999</v>
      </c>
      <c r="H14">
        <f ca="1">IF(AND($B$31=1,LEN($H$36)&gt;0),$H$36/1000,HLOOKUP(INDIRECT(ADDRESS(2,COLUMN())),OFFSET($BN$2,0,0,ROW()-1,60),ROW()-1,FALSE))</f>
        <v>1890.9865</v>
      </c>
      <c r="I14">
        <f ca="1">IF(AND($B$31=1,LEN($I$36)&gt;0),$I$36/1000,HLOOKUP(INDIRECT(ADDRESS(2,COLUMN())),OFFSET($BN$2,0,0,ROW()-1,60),ROW()-1,FALSE))</f>
        <v>1878.8099</v>
      </c>
      <c r="J14">
        <f ca="1">IF(AND($B$31=1,LEN($J$36)&gt;0),$J$36/1000,HLOOKUP(INDIRECT(ADDRESS(2,COLUMN())),OFFSET($BN$2,0,0,ROW()-1,60),ROW()-1,FALSE))</f>
        <v>1901.4876999999999</v>
      </c>
      <c r="K14">
        <f ca="1">IF(AND($B$31=1,LEN($K$36)&gt;0),$K$36/1000,HLOOKUP(INDIRECT(ADDRESS(2,COLUMN())),OFFSET($BN$2,0,0,ROW()-1,60),ROW()-1,FALSE))</f>
        <v>1847.1993</v>
      </c>
      <c r="L14">
        <f ca="1">IF(AND($B$31=1,LEN($L$36)&gt;0),$L$36/1000,HLOOKUP(INDIRECT(ADDRESS(2,COLUMN())),OFFSET($BN$2,0,0,ROW()-1,60),ROW()-1,FALSE))</f>
        <v>1841.0906</v>
      </c>
      <c r="M14">
        <f ca="1">IF(AND($B$31=1,LEN($M$36)&gt;0),$M$36/1000,HLOOKUP(INDIRECT(ADDRESS(2,COLUMN())),OFFSET($BN$2,0,0,ROW()-1,60),ROW()-1,FALSE))</f>
        <v>1827.2147</v>
      </c>
      <c r="N14">
        <f ca="1">IF(AND($B$31=1,LEN($N$36)&gt;0),$N$36/1000,HLOOKUP(INDIRECT(ADDRESS(2,COLUMN())),OFFSET($BN$2,0,0,ROW()-1,60),ROW()-1,FALSE))</f>
        <v>1849.8463999999999</v>
      </c>
      <c r="O14">
        <f ca="1">IF(AND($B$31=1,LEN($O$36)&gt;0),$O$36/1000,HLOOKUP(INDIRECT(ADDRESS(2,COLUMN())),OFFSET($BN$2,0,0,ROW()-1,60),ROW()-1,FALSE))</f>
        <v>1875.1133</v>
      </c>
      <c r="P14">
        <f ca="1">IF(AND($B$31=1,LEN($P$36)&gt;0),$P$36/1000,HLOOKUP(INDIRECT(ADDRESS(2,COLUMN())),OFFSET($BN$2,0,0,ROW()-1,60),ROW()-1,FALSE))</f>
        <v>1918.1723</v>
      </c>
      <c r="Q14">
        <f ca="1">IF(AND($B$31=1,LEN($Q$36)&gt;0),$Q$36/1000,HLOOKUP(INDIRECT(ADDRESS(2,COLUMN())),OFFSET($BN$2,0,0,ROW()-1,60),ROW()-1,FALSE))</f>
        <v>1912.4867999999999</v>
      </c>
      <c r="R14">
        <f ca="1">IF(AND($B$31=1,LEN($R$36)&gt;0),$R$36/1000,HLOOKUP(INDIRECT(ADDRESS(2,COLUMN())),OFFSET($BN$2,0,0,ROW()-1,60),ROW()-1,FALSE))</f>
        <v>1843.904</v>
      </c>
      <c r="S14">
        <f ca="1">IF(AND($B$31=1,LEN($S$36)&gt;0),$S$36/1000,HLOOKUP(INDIRECT(ADDRESS(2,COLUMN())),OFFSET($BN$2,0,0,ROW()-1,60),ROW()-1,FALSE))</f>
        <v>1738.048</v>
      </c>
      <c r="T14">
        <f ca="1">IF(AND($B$31=1,LEN($T$36)&gt;0),$T$36/1000,HLOOKUP(INDIRECT(ADDRESS(2,COLUMN())),OFFSET($BN$2,0,0,ROW()-1,60),ROW()-1,FALSE))</f>
        <v>1653.8019999999999</v>
      </c>
      <c r="U14">
        <f ca="1">IF(AND($B$31=1,LEN($U$36)&gt;0),$U$36/1000,HLOOKUP(INDIRECT(ADDRESS(2,COLUMN())),OFFSET($BN$2,0,0,ROW()-1,60),ROW()-1,FALSE))</f>
        <v>1552.5554</v>
      </c>
      <c r="V14">
        <f ca="1">IF(AND($B$31=1,LEN($V$36)&gt;0),$V$36/1000,HLOOKUP(INDIRECT(ADDRESS(2,COLUMN())),OFFSET($BN$2,0,0,ROW()-1,60),ROW()-1,FALSE))</f>
        <v>1482.0319</v>
      </c>
      <c r="W14">
        <f ca="1">IF(AND($B$31=1,LEN($W$36)&gt;0),$W$36/1000,HLOOKUP(INDIRECT(ADDRESS(2,COLUMN())),OFFSET($BN$2,0,0,ROW()-1,60),ROW()-1,FALSE))</f>
        <v>1423.5915</v>
      </c>
      <c r="X14">
        <f ca="1">IF(AND($B$31=1,LEN($X$36)&gt;0),$X$36/1000,HLOOKUP(INDIRECT(ADDRESS(2,COLUMN())),OFFSET($BN$2,0,0,ROW()-1,60),ROW()-1,FALSE))</f>
        <v>1376.1880000000001</v>
      </c>
      <c r="Y14">
        <f ca="1">IF(AND($B$31=1,LEN($Y$36)&gt;0),$Y$36/1000,HLOOKUP(INDIRECT(ADDRESS(2,COLUMN())),OFFSET($BN$2,0,0,ROW()-1,60),ROW()-1,FALSE))</f>
        <v>1293.2405000000001</v>
      </c>
      <c r="Z14">
        <f ca="1">IF(AND($B$31=1,LEN($Z$36)&gt;0),$Z$36/1000,HLOOKUP(INDIRECT(ADDRESS(2,COLUMN())),OFFSET($BN$2,0,0,ROW()-1,60),ROW()-1,FALSE))</f>
        <v>1113.1756</v>
      </c>
      <c r="AA14">
        <f ca="1">IF(AND($B$31=1,LEN($AA$36)&gt;0),$AA$36/1000,HLOOKUP(INDIRECT(ADDRESS(2,COLUMN())),OFFSET($BN$2,0,0,ROW()-1,60),ROW()-1,FALSE))</f>
        <v>1398.3768</v>
      </c>
      <c r="AB14">
        <f ca="1">IF(AND($B$31=1,LEN($AB$36)&gt;0),$AB$36/1000,HLOOKUP(INDIRECT(ADDRESS(2,COLUMN())),OFFSET($BN$2,0,0,ROW()-1,60),ROW()-1,FALSE))</f>
        <v>1448.7375</v>
      </c>
      <c r="AC14">
        <f ca="1">IF(AND($B$31=1,LEN($AC$36)&gt;0),$AC$36/1000,HLOOKUP(INDIRECT(ADDRESS(2,COLUMN())),OFFSET($BN$2,0,0,ROW()-1,60),ROW()-1,FALSE))</f>
        <v>1442.9878000000001</v>
      </c>
      <c r="AD14">
        <f ca="1">IF(AND($B$31=1,LEN($AD$36)&gt;0),$AD$36/1000,HLOOKUP(INDIRECT(ADDRESS(2,COLUMN())),OFFSET($BN$2,0,0,ROW()-1,60),ROW()-1,FALSE))</f>
        <v>1438.9038</v>
      </c>
      <c r="AE14">
        <f ca="1">IF(AND($B$31=1,LEN($AE$36)&gt;0),$AE$36/1000,HLOOKUP(INDIRECT(ADDRESS(2,COLUMN())),OFFSET($BN$2,0,0,ROW()-1,60),ROW()-1,FALSE))</f>
        <v>1434.1171999999999</v>
      </c>
      <c r="AF14">
        <f ca="1">IF(AND($B$31=1,LEN($AF$36)&gt;0),$AF$36/1000,HLOOKUP(INDIRECT(ADDRESS(2,COLUMN())),OFFSET($BN$2,0,0,ROW()-1,60),ROW()-1,FALSE))</f>
        <v>1407.4938</v>
      </c>
      <c r="AG14">
        <f ca="1">IF(AND($B$31=1,LEN($AG$36)&gt;0),$AG$36/1000,HLOOKUP(INDIRECT(ADDRESS(2,COLUMN())),OFFSET($BN$2,0,0,ROW()-1,60),ROW()-1,FALSE))</f>
        <v>1397.1321</v>
      </c>
      <c r="AH14">
        <f ca="1">IF(AND($B$31=1,LEN($AH$36)&gt;0),$AH$36/1000,HLOOKUP(INDIRECT(ADDRESS(2,COLUMN())),OFFSET($BN$2,0,0,ROW()-1,60),ROW()-1,FALSE))</f>
        <v>1377.5984000000001</v>
      </c>
      <c r="AI14">
        <f ca="1">IF(AND($B$31=1,LEN($AI$36)&gt;0),$AI$36/1000,HLOOKUP(INDIRECT(ADDRESS(2,COLUMN())),OFFSET($BN$2,0,0,ROW()-1,60),ROW()-1,FALSE))</f>
        <v>1359.6916000000001</v>
      </c>
      <c r="AJ14">
        <f ca="1">IF(AND($B$31=1,LEN($AJ$36)&gt;0),$AJ$36/1000,HLOOKUP(INDIRECT(ADDRESS(2,COLUMN())),OFFSET($BN$2,0,0,ROW()-1,60),ROW()-1,FALSE))</f>
        <v>1354.1107999999999</v>
      </c>
      <c r="AK14">
        <f ca="1">IF(AND($B$31=1,LEN($AK$36)&gt;0),$AK$36/1000,HLOOKUP(INDIRECT(ADDRESS(2,COLUMN())),OFFSET($BN$2,0,0,ROW()-1,60),ROW()-1,FALSE))</f>
        <v>1319.7198000000001</v>
      </c>
      <c r="AL14">
        <f ca="1">IF(AND($B$31=1,LEN($AL$36)&gt;0),$AL$36/1000,HLOOKUP(INDIRECT(ADDRESS(2,COLUMN())),OFFSET($BN$2,0,0,ROW()-1,60),ROW()-1,FALSE))</f>
        <v>1309.0546999999999</v>
      </c>
      <c r="AM14">
        <f ca="1">IF(AND($B$31=1,LEN($AM$36)&gt;0),$AM$36/1000,HLOOKUP(INDIRECT(ADDRESS(2,COLUMN())),OFFSET($BN$2,0,0,ROW()-1,60),ROW()-1,FALSE))</f>
        <v>1292.6376</v>
      </c>
      <c r="AN14">
        <f ca="1">IF(AND($B$31=1,LEN($AN$36)&gt;0),$AN$36/1000,HLOOKUP(INDIRECT(ADDRESS(2,COLUMN())),OFFSET($BN$2,0,0,ROW()-1,60),ROW()-1,FALSE))</f>
        <v>1248.5771999999999</v>
      </c>
      <c r="AO14">
        <f ca="1">IF(AND($B$31=1,LEN($AO$36)&gt;0),$AO$36/1000,HLOOKUP(INDIRECT(ADDRESS(2,COLUMN())),OFFSET($BN$2,0,0,ROW()-1,60),ROW()-1,FALSE))</f>
        <v>1228.7262000000001</v>
      </c>
      <c r="AP14">
        <f ca="1">IF(AND($B$31=1,LEN($AP$36)&gt;0),$AP$36/1000,HLOOKUP(INDIRECT(ADDRESS(2,COLUMN())),OFFSET($BN$2,0,0,ROW()-1,60),ROW()-1,FALSE))</f>
        <v>1210.7564</v>
      </c>
      <c r="AQ14">
        <f ca="1">IF(AND($B$31=1,LEN($AQ$36)&gt;0),$AQ$36/1000,HLOOKUP(INDIRECT(ADDRESS(2,COLUMN())),OFFSET($BN$2,0,0,ROW()-1,60),ROW()-1,FALSE))</f>
        <v>1200.0133000000001</v>
      </c>
      <c r="AR14">
        <f ca="1">IF(AND($B$31=1,LEN($AR$36)&gt;0),$AR$36/1000,HLOOKUP(INDIRECT(ADDRESS(2,COLUMN())),OFFSET($BN$2,0,0,ROW()-1,60),ROW()-1,FALSE))</f>
        <v>1207.8134</v>
      </c>
      <c r="AS14">
        <f ca="1">IF(AND($B$31=1,LEN($AS$36)&gt;0),$AS$36/1000,HLOOKUP(INDIRECT(ADDRESS(2,COLUMN())),OFFSET($BN$2,0,0,ROW()-1,60),ROW()-1,FALSE))</f>
        <v>1205.2655</v>
      </c>
      <c r="AT14">
        <f ca="1">IF(AND($B$31=1,LEN($AT$36)&gt;0),$AT$36/1000,HLOOKUP(INDIRECT(ADDRESS(2,COLUMN())),OFFSET($BN$2,0,0,ROW()-1,60),ROW()-1,FALSE))</f>
        <v>1207.3924999999999</v>
      </c>
      <c r="AU14">
        <f ca="1">IF(AND($B$31=1,LEN($AU$36)&gt;0),$AU$36/1000,HLOOKUP(INDIRECT(ADDRESS(2,COLUMN())),OFFSET($BN$2,0,0,ROW()-1,60),ROW()-1,FALSE))</f>
        <v>1186.8432</v>
      </c>
      <c r="AV14">
        <f ca="1">IF(AND($B$31=1,LEN($AV$36)&gt;0),$AV$36/1000,HLOOKUP(INDIRECT(ADDRESS(2,COLUMN())),OFFSET($BN$2,0,0,ROW()-1,60),ROW()-1,FALSE))</f>
        <v>1147.2353000000001</v>
      </c>
      <c r="AW14">
        <f ca="1">IF(AND($B$31=1,LEN($AW$36)&gt;0),$AW$36/1000,HLOOKUP(INDIRECT(ADDRESS(2,COLUMN())),OFFSET($BN$2,0,0,ROW()-1,60),ROW()-1,FALSE))</f>
        <v>1134.5811000000001</v>
      </c>
      <c r="AX14">
        <f ca="1">IF(AND($B$31=1,LEN($AX$36)&gt;0),$AX$36/1000,HLOOKUP(INDIRECT(ADDRESS(2,COLUMN())),OFFSET($BN$2,0,0,ROW()-1,60),ROW()-1,FALSE))</f>
        <v>1114.4956999999999</v>
      </c>
      <c r="AY14">
        <f ca="1">IF(AND($B$31=1,LEN($AY$36)&gt;0),$AY$36/1000,HLOOKUP(INDIRECT(ADDRESS(2,COLUMN())),OFFSET($BN$2,0,0,ROW()-1,60),ROW()-1,FALSE))</f>
        <v>1103.4947</v>
      </c>
      <c r="AZ14">
        <f ca="1">IF(AND($B$31=1,LEN($AZ$36)&gt;0),$AZ$36/1000,HLOOKUP(INDIRECT(ADDRESS(2,COLUMN())),OFFSET($BN$2,0,0,ROW()-1,60),ROW()-1,FALSE))</f>
        <v>1096.8970999999999</v>
      </c>
      <c r="BA14">
        <f ca="1">IF(AND($B$31=1,LEN($BA$36)&gt;0),$BA$36/1000,HLOOKUP(INDIRECT(ADDRESS(2,COLUMN())),OFFSET($BN$2,0,0,ROW()-1,60),ROW()-1,FALSE))</f>
        <v>1088.3495</v>
      </c>
      <c r="BB14">
        <f ca="1">IF(AND($B$31=1,LEN($BB$36)&gt;0),$BB$36/1000,HLOOKUP(INDIRECT(ADDRESS(2,COLUMN())),OFFSET($BN$2,0,0,ROW()-1,60),ROW()-1,FALSE))</f>
        <v>1080.8443</v>
      </c>
      <c r="BC14">
        <f ca="1">IF(AND($B$31=1,LEN($BC$36)&gt;0),$BC$36/1000,HLOOKUP(INDIRECT(ADDRESS(2,COLUMN())),OFFSET($BN$2,0,0,ROW()-1,60),ROW()-1,FALSE))</f>
        <v>1074.4503999999999</v>
      </c>
      <c r="BD14">
        <f ca="1">IF(AND($B$31=1,LEN($BD$36)&gt;0),$BD$36/1000,HLOOKUP(INDIRECT(ADDRESS(2,COLUMN())),OFFSET($BN$2,0,0,ROW()-1,60),ROW()-1,FALSE))</f>
        <v>1071.9657999999999</v>
      </c>
      <c r="BE14">
        <f ca="1">IF(AND($B$31=1,LEN($BE$36)&gt;0),$BE$36/1000,HLOOKUP(INDIRECT(ADDRESS(2,COLUMN())),OFFSET($BN$2,0,0,ROW()-1,60),ROW()-1,FALSE))</f>
        <v>1076.9055000000001</v>
      </c>
      <c r="BF14">
        <f ca="1">IF(AND($B$31=1,LEN($BF$36)&gt;0),$BF$36/1000,HLOOKUP(INDIRECT(ADDRESS(2,COLUMN())),OFFSET($BN$2,0,0,ROW()-1,60),ROW()-1,FALSE))</f>
        <v>1060.6022</v>
      </c>
      <c r="BG14">
        <f ca="1">IF(AND($B$31=1,LEN($BG$36)&gt;0),$BG$36/1000,HLOOKUP(INDIRECT(ADDRESS(2,COLUMN())),OFFSET($BN$2,0,0,ROW()-1,60),ROW()-1,FALSE))</f>
        <v>1051.9603</v>
      </c>
      <c r="BH14">
        <f ca="1">IF(AND($B$31=1,LEN($BH$36)&gt;0),$BH$36/1000,HLOOKUP(INDIRECT(ADDRESS(2,COLUMN())),OFFSET($BN$2,0,0,ROW()-1,60),ROW()-1,FALSE))</f>
        <v>1029.5709999999999</v>
      </c>
      <c r="BI14">
        <f ca="1">IF(AND($B$31=1,LEN($BI$36)&gt;0),$BI$36/1000,HLOOKUP(INDIRECT(ADDRESS(2,COLUMN())),OFFSET($BN$2,0,0,ROW()-1,60),ROW()-1,FALSE))</f>
        <v>1028.4407000000001</v>
      </c>
      <c r="BJ14">
        <f ca="1">IF(AND($B$31=1,LEN($BJ$36)&gt;0),$BJ$36/1000,HLOOKUP(INDIRECT(ADDRESS(2,COLUMN())),OFFSET($BN$2,0,0,ROW()-1,60),ROW()-1,FALSE))</f>
        <v>1017.8868</v>
      </c>
      <c r="BK14">
        <f ca="1">IF(AND($B$31=1,LEN($BK$36)&gt;0),$BK$36/1000,HLOOKUP(INDIRECT(ADDRESS(2,COLUMN())),OFFSET($BN$2,0,0,ROW()-1,60),ROW()-1,FALSE))</f>
        <v>1004.5667</v>
      </c>
      <c r="BL14">
        <f ca="1">IF(AND($B$31=1,LEN($BL$36)&gt;0),$BL$36/1000,HLOOKUP(INDIRECT(ADDRESS(2,COLUMN())),OFFSET($BN$2,0,0,ROW()-1,60),ROW()-1,FALSE))</f>
        <v>967.56140000000005</v>
      </c>
      <c r="BM14">
        <f ca="1">IF(AND($B$31=1,LEN($BM$36)&gt;0),$BM$36/1000,HLOOKUP(INDIRECT(ADDRESS(2,COLUMN())),OFFSET($BN$2,0,0,ROW()-1,60),ROW()-1,FALSE))</f>
        <v>943.64229999999998</v>
      </c>
      <c r="BN14" t="str">
        <f>""</f>
        <v/>
      </c>
      <c r="BO14">
        <f>1932.9015</f>
        <v>1932.9014999999999</v>
      </c>
      <c r="BP14">
        <f>1890.9865</f>
        <v>1890.9865</v>
      </c>
      <c r="BQ14">
        <f>1878.8099</f>
        <v>1878.8099</v>
      </c>
      <c r="BR14">
        <f>1901.4877</f>
        <v>1901.4876999999999</v>
      </c>
      <c r="BS14">
        <f>1847.1993</f>
        <v>1847.1993</v>
      </c>
      <c r="BT14">
        <f>1841.0906</f>
        <v>1841.0906</v>
      </c>
      <c r="BU14">
        <f>1827.2147</f>
        <v>1827.2147</v>
      </c>
      <c r="BV14">
        <f>1849.8464</f>
        <v>1849.8463999999999</v>
      </c>
      <c r="BW14">
        <f>1875.1133</f>
        <v>1875.1133</v>
      </c>
      <c r="BX14">
        <f>1918.1723</f>
        <v>1918.1723</v>
      </c>
      <c r="BY14">
        <f>1912.4868</f>
        <v>1912.4867999999999</v>
      </c>
      <c r="BZ14">
        <f>1843.904</f>
        <v>1843.904</v>
      </c>
      <c r="CA14">
        <f>1738.048</f>
        <v>1738.048</v>
      </c>
      <c r="CB14">
        <f>1653.802</f>
        <v>1653.8019999999999</v>
      </c>
      <c r="CC14">
        <f>1552.5554</f>
        <v>1552.5554</v>
      </c>
      <c r="CD14">
        <f>1482.0319</f>
        <v>1482.0319</v>
      </c>
      <c r="CE14">
        <f>1423.5915</f>
        <v>1423.5915</v>
      </c>
      <c r="CF14">
        <f>1376.188</f>
        <v>1376.1880000000001</v>
      </c>
      <c r="CG14">
        <f>1293.2405</f>
        <v>1293.2405000000001</v>
      </c>
      <c r="CH14">
        <f>1113.1756</f>
        <v>1113.1756</v>
      </c>
      <c r="CI14">
        <f>1398.3768</f>
        <v>1398.3768</v>
      </c>
      <c r="CJ14">
        <f>1448.7375</f>
        <v>1448.7375</v>
      </c>
      <c r="CK14">
        <f>1442.9878</f>
        <v>1442.9878000000001</v>
      </c>
      <c r="CL14">
        <f>1438.9038</f>
        <v>1438.9038</v>
      </c>
      <c r="CM14">
        <f>1434.1172</f>
        <v>1434.1171999999999</v>
      </c>
      <c r="CN14">
        <f>1407.4938</f>
        <v>1407.4938</v>
      </c>
      <c r="CO14">
        <f>1397.1321</f>
        <v>1397.1321</v>
      </c>
      <c r="CP14">
        <f>1377.5984</f>
        <v>1377.5984000000001</v>
      </c>
      <c r="CQ14">
        <f>1359.6916</f>
        <v>1359.6916000000001</v>
      </c>
      <c r="CR14">
        <f>1354.1108</f>
        <v>1354.1107999999999</v>
      </c>
      <c r="CS14">
        <f>1319.7198</f>
        <v>1319.7198000000001</v>
      </c>
      <c r="CT14">
        <f>1309.0547</f>
        <v>1309.0546999999999</v>
      </c>
      <c r="CU14">
        <f>1292.6376</f>
        <v>1292.6376</v>
      </c>
      <c r="CV14">
        <f>1248.5772</f>
        <v>1248.5771999999999</v>
      </c>
      <c r="CW14">
        <f>1228.7262</f>
        <v>1228.7262000000001</v>
      </c>
      <c r="CX14">
        <f>1210.7564</f>
        <v>1210.7564</v>
      </c>
      <c r="CY14">
        <f>1200.0133</f>
        <v>1200.0133000000001</v>
      </c>
      <c r="CZ14">
        <f>1207.8134</f>
        <v>1207.8134</v>
      </c>
      <c r="DA14">
        <f>1205.2655</f>
        <v>1205.2655</v>
      </c>
      <c r="DB14">
        <f>1207.3925</f>
        <v>1207.3924999999999</v>
      </c>
      <c r="DC14">
        <f>1186.8432</f>
        <v>1186.8432</v>
      </c>
      <c r="DD14">
        <f>1147.2353</f>
        <v>1147.2353000000001</v>
      </c>
      <c r="DE14">
        <f>1134.5811</f>
        <v>1134.5811000000001</v>
      </c>
      <c r="DF14">
        <f>1114.4957</f>
        <v>1114.4956999999999</v>
      </c>
      <c r="DG14">
        <f>1103.4947</f>
        <v>1103.4947</v>
      </c>
      <c r="DH14">
        <f>1096.8971</f>
        <v>1096.8970999999999</v>
      </c>
      <c r="DI14">
        <f>1088.3495</f>
        <v>1088.3495</v>
      </c>
      <c r="DJ14">
        <f>1080.8443</f>
        <v>1080.8443</v>
      </c>
      <c r="DK14">
        <f>1074.4504</f>
        <v>1074.4503999999999</v>
      </c>
      <c r="DL14">
        <f>1071.9658</f>
        <v>1071.9657999999999</v>
      </c>
      <c r="DM14">
        <f>1076.9055</f>
        <v>1076.9055000000001</v>
      </c>
      <c r="DN14">
        <f>1060.6022</f>
        <v>1060.6022</v>
      </c>
      <c r="DO14">
        <f>1051.9603</f>
        <v>1051.9603</v>
      </c>
      <c r="DP14">
        <f>1029.571</f>
        <v>1029.5709999999999</v>
      </c>
      <c r="DQ14">
        <f>1028.4407</f>
        <v>1028.4407000000001</v>
      </c>
      <c r="DR14">
        <f>1017.8868</f>
        <v>1017.8868</v>
      </c>
      <c r="DS14">
        <f>1004.5667</f>
        <v>1004.5667</v>
      </c>
      <c r="DT14">
        <f>967.5614</f>
        <v>967.56140000000005</v>
      </c>
      <c r="DU14">
        <f>943.6423</f>
        <v>943.64229999999998</v>
      </c>
    </row>
    <row r="15" spans="1:125" x14ac:dyDescent="0.25">
      <c r="A15" t="str">
        <f>"        Imports"</f>
        <v xml:space="preserve">        Imports</v>
      </c>
      <c r="B15" t="str">
        <f>"ECIMEMU Index"</f>
        <v>ECIMEMU Index</v>
      </c>
      <c r="E15" t="str">
        <f>"Expression"</f>
        <v>Expression</v>
      </c>
      <c r="F15" t="str">
        <f ca="1">IF(AND($B$31=1,LEN($F$37)&gt;0),$F$37/1000,HLOOKUP(INDIRECT(ADDRESS(2,COLUMN())),OFFSET($BN$2,0,0,ROW()-1,60),ROW()-1,FALSE))</f>
        <v/>
      </c>
      <c r="G15">
        <f ca="1">IF(AND($B$31=1,LEN($G$37)&gt;0),$G$37/1000,HLOOKUP(INDIRECT(ADDRESS(2,COLUMN())),OFFSET($BN$2,0,0,ROW()-1,60),ROW()-1,FALSE))</f>
        <v>1771.3466000000001</v>
      </c>
      <c r="H15">
        <f ca="1">IF(AND($B$31=1,LEN($H$37)&gt;0),$H$37/1000,HLOOKUP(INDIRECT(ADDRESS(2,COLUMN())),OFFSET($BN$2,0,0,ROW()-1,60),ROW()-1,FALSE))</f>
        <v>1725.6107</v>
      </c>
      <c r="I15">
        <f ca="1">IF(AND($B$31=1,LEN($I$37)&gt;0),$I$37/1000,HLOOKUP(INDIRECT(ADDRESS(2,COLUMN())),OFFSET($BN$2,0,0,ROW()-1,60),ROW()-1,FALSE))</f>
        <v>1719.4159</v>
      </c>
      <c r="J15">
        <f ca="1">IF(AND($B$31=1,LEN($J$37)&gt;0),$J$37/1000,HLOOKUP(INDIRECT(ADDRESS(2,COLUMN())),OFFSET($BN$2,0,0,ROW()-1,60),ROW()-1,FALSE))</f>
        <v>1715.2304999999999</v>
      </c>
      <c r="K15">
        <f ca="1">IF(AND($B$31=1,LEN($K$37)&gt;0),$K$37/1000,HLOOKUP(INDIRECT(ADDRESS(2,COLUMN())),OFFSET($BN$2,0,0,ROW()-1,60),ROW()-1,FALSE))</f>
        <v>1674.8768</v>
      </c>
      <c r="L15">
        <f ca="1">IF(AND($B$31=1,LEN($L$37)&gt;0),$L$37/1000,HLOOKUP(INDIRECT(ADDRESS(2,COLUMN())),OFFSET($BN$2,0,0,ROW()-1,60),ROW()-1,FALSE))</f>
        <v>1701.4947999999999</v>
      </c>
      <c r="M15">
        <f ca="1">IF(AND($B$31=1,LEN($M$37)&gt;0),$M$37/1000,HLOOKUP(INDIRECT(ADDRESS(2,COLUMN())),OFFSET($BN$2,0,0,ROW()-1,60),ROW()-1,FALSE))</f>
        <v>1689.0504000000001</v>
      </c>
      <c r="N15">
        <f ca="1">IF(AND($B$31=1,LEN($N$37)&gt;0),$N$37/1000,HLOOKUP(INDIRECT(ADDRESS(2,COLUMN())),OFFSET($BN$2,0,0,ROW()-1,60),ROW()-1,FALSE))</f>
        <v>1720.4324999999999</v>
      </c>
      <c r="O15">
        <f ca="1">IF(AND($B$31=1,LEN($O$37)&gt;0),$O$37/1000,HLOOKUP(INDIRECT(ADDRESS(2,COLUMN())),OFFSET($BN$2,0,0,ROW()-1,60),ROW()-1,FALSE))</f>
        <v>1760.8557000000001</v>
      </c>
      <c r="P15">
        <f ca="1">IF(AND($B$31=1,LEN($P$37)&gt;0),$P$37/1000,HLOOKUP(INDIRECT(ADDRESS(2,COLUMN())),OFFSET($BN$2,0,0,ROW()-1,60),ROW()-1,FALSE))</f>
        <v>1830.6155000000001</v>
      </c>
      <c r="Q15">
        <f ca="1">IF(AND($B$31=1,LEN($Q$37)&gt;0),$Q$37/1000,HLOOKUP(INDIRECT(ADDRESS(2,COLUMN())),OFFSET($BN$2,0,0,ROW()-1,60),ROW()-1,FALSE))</f>
        <v>1872.4235000000001</v>
      </c>
      <c r="R15">
        <f ca="1">IF(AND($B$31=1,LEN($R$37)&gt;0),$R$37/1000,HLOOKUP(INDIRECT(ADDRESS(2,COLUMN())),OFFSET($BN$2,0,0,ROW()-1,60),ROW()-1,FALSE))</f>
        <v>1781.8734999999999</v>
      </c>
      <c r="S15">
        <f ca="1">IF(AND($B$31=1,LEN($S$37)&gt;0),$S$37/1000,HLOOKUP(INDIRECT(ADDRESS(2,COLUMN())),OFFSET($BN$2,0,0,ROW()-1,60),ROW()-1,FALSE))</f>
        <v>1651.3032000000001</v>
      </c>
      <c r="T15">
        <f ca="1">IF(AND($B$31=1,LEN($T$37)&gt;0),$T$37/1000,HLOOKUP(INDIRECT(ADDRESS(2,COLUMN())),OFFSET($BN$2,0,0,ROW()-1,60),ROW()-1,FALSE))</f>
        <v>1562.8933</v>
      </c>
      <c r="U15">
        <f ca="1">IF(AND($B$31=1,LEN($U$37)&gt;0),$U$37/1000,HLOOKUP(INDIRECT(ADDRESS(2,COLUMN())),OFFSET($BN$2,0,0,ROW()-1,60),ROW()-1,FALSE))</f>
        <v>1420.1319000000001</v>
      </c>
      <c r="V15">
        <f ca="1">IF(AND($B$31=1,LEN($V$37)&gt;0),$V$37/1000,HLOOKUP(INDIRECT(ADDRESS(2,COLUMN())),OFFSET($BN$2,0,0,ROW()-1,60),ROW()-1,FALSE))</f>
        <v>1346.4746</v>
      </c>
      <c r="W15">
        <f ca="1">IF(AND($B$31=1,LEN($W$37)&gt;0),$W$37/1000,HLOOKUP(INDIRECT(ADDRESS(2,COLUMN())),OFFSET($BN$2,0,0,ROW()-1,60),ROW()-1,FALSE))</f>
        <v>1278.0341000000001</v>
      </c>
      <c r="X15">
        <f ca="1">IF(AND($B$31=1,LEN($X$37)&gt;0),$X$37/1000,HLOOKUP(INDIRECT(ADDRESS(2,COLUMN())),OFFSET($BN$2,0,0,ROW()-1,60),ROW()-1,FALSE))</f>
        <v>1242.434</v>
      </c>
      <c r="Y15">
        <f ca="1">IF(AND($B$31=1,LEN($Y$37)&gt;0),$Y$37/1000,HLOOKUP(INDIRECT(ADDRESS(2,COLUMN())),OFFSET($BN$2,0,0,ROW()-1,60),ROW()-1,FALSE))</f>
        <v>1165.377</v>
      </c>
      <c r="Z15">
        <f ca="1">IF(AND($B$31=1,LEN($Z$37)&gt;0),$Z$37/1000,HLOOKUP(INDIRECT(ADDRESS(2,COLUMN())),OFFSET($BN$2,0,0,ROW()-1,60),ROW()-1,FALSE))</f>
        <v>1025.4076</v>
      </c>
      <c r="AA15">
        <f ca="1">IF(AND($B$31=1,LEN($AA$37)&gt;0),$AA$37/1000,HLOOKUP(INDIRECT(ADDRESS(2,COLUMN())),OFFSET($BN$2,0,0,ROW()-1,60),ROW()-1,FALSE))</f>
        <v>1331.6365000000001</v>
      </c>
      <c r="AB15">
        <f ca="1">IF(AND($B$31=1,LEN($AB$37)&gt;0),$AB$37/1000,HLOOKUP(INDIRECT(ADDRESS(2,COLUMN())),OFFSET($BN$2,0,0,ROW()-1,60),ROW()-1,FALSE))</f>
        <v>1377.3031000000001</v>
      </c>
      <c r="AC15">
        <f ca="1">IF(AND($B$31=1,LEN($AC$37)&gt;0),$AC$37/1000,HLOOKUP(INDIRECT(ADDRESS(2,COLUMN())),OFFSET($BN$2,0,0,ROW()-1,60),ROW()-1,FALSE))</f>
        <v>1311.0410999999999</v>
      </c>
      <c r="AD15">
        <f ca="1">IF(AND($B$31=1,LEN($AD$37)&gt;0),$AD$37/1000,HLOOKUP(INDIRECT(ADDRESS(2,COLUMN())),OFFSET($BN$2,0,0,ROW()-1,60),ROW()-1,FALSE))</f>
        <v>1348.3447000000001</v>
      </c>
      <c r="AE15">
        <f ca="1">IF(AND($B$31=1,LEN($AE$37)&gt;0),$AE$37/1000,HLOOKUP(INDIRECT(ADDRESS(2,COLUMN())),OFFSET($BN$2,0,0,ROW()-1,60),ROW()-1,FALSE))</f>
        <v>1301.6359</v>
      </c>
      <c r="AF15">
        <f ca="1">IF(AND($B$31=1,LEN($AF$37)&gt;0),$AF$37/1000,HLOOKUP(INDIRECT(ADDRESS(2,COLUMN())),OFFSET($BN$2,0,0,ROW()-1,60),ROW()-1,FALSE))</f>
        <v>1311.6032</v>
      </c>
      <c r="AG15">
        <f ca="1">IF(AND($B$31=1,LEN($AG$37)&gt;0),$AG$37/1000,HLOOKUP(INDIRECT(ADDRESS(2,COLUMN())),OFFSET($BN$2,0,0,ROW()-1,60),ROW()-1,FALSE))</f>
        <v>1281.0327</v>
      </c>
      <c r="AH15">
        <f ca="1">IF(AND($B$31=1,LEN($AH$37)&gt;0),$AH$37/1000,HLOOKUP(INDIRECT(ADDRESS(2,COLUMN())),OFFSET($BN$2,0,0,ROW()-1,60),ROW()-1,FALSE))</f>
        <v>1251.1500000000001</v>
      </c>
      <c r="AI15">
        <f ca="1">IF(AND($B$31=1,LEN($AI$37)&gt;0),$AI$37/1000,HLOOKUP(INDIRECT(ADDRESS(2,COLUMN())),OFFSET($BN$2,0,0,ROW()-1,60),ROW()-1,FALSE))</f>
        <v>1226.9059999999999</v>
      </c>
      <c r="AJ15">
        <f ca="1">IF(AND($B$31=1,LEN($AJ$37)&gt;0),$AJ$37/1000,HLOOKUP(INDIRECT(ADDRESS(2,COLUMN())),OFFSET($BN$2,0,0,ROW()-1,60),ROW()-1,FALSE))</f>
        <v>1214.0364999999999</v>
      </c>
      <c r="AK15">
        <f ca="1">IF(AND($B$31=1,LEN($AK$37)&gt;0),$AK$37/1000,HLOOKUP(INDIRECT(ADDRESS(2,COLUMN())),OFFSET($BN$2,0,0,ROW()-1,60),ROW()-1,FALSE))</f>
        <v>1181.5648000000001</v>
      </c>
      <c r="AL15">
        <f ca="1">IF(AND($B$31=1,LEN($AL$37)&gt;0),$AL$37/1000,HLOOKUP(INDIRECT(ADDRESS(2,COLUMN())),OFFSET($BN$2,0,0,ROW()-1,60),ROW()-1,FALSE))</f>
        <v>1212.8898999999999</v>
      </c>
      <c r="AM15">
        <f ca="1">IF(AND($B$31=1,LEN($AM$37)&gt;0),$AM$37/1000,HLOOKUP(INDIRECT(ADDRESS(2,COLUMN())),OFFSET($BN$2,0,0,ROW()-1,60),ROW()-1,FALSE))</f>
        <v>1164.4217000000001</v>
      </c>
      <c r="AN15">
        <f ca="1">IF(AND($B$31=1,LEN($AN$37)&gt;0),$AN$37/1000,HLOOKUP(INDIRECT(ADDRESS(2,COLUMN())),OFFSET($BN$2,0,0,ROW()-1,60),ROW()-1,FALSE))</f>
        <v>1138.7891</v>
      </c>
      <c r="AO15">
        <f ca="1">IF(AND($B$31=1,LEN($AO$37)&gt;0),$AO$37/1000,HLOOKUP(INDIRECT(ADDRESS(2,COLUMN())),OFFSET($BN$2,0,0,ROW()-1,60),ROW()-1,FALSE))</f>
        <v>1104.5099</v>
      </c>
      <c r="AP15">
        <f ca="1">IF(AND($B$31=1,LEN($AP$37)&gt;0),$AP$37/1000,HLOOKUP(INDIRECT(ADDRESS(2,COLUMN())),OFFSET($BN$2,0,0,ROW()-1,60),ROW()-1,FALSE))</f>
        <v>1083.2615000000001</v>
      </c>
      <c r="AQ15">
        <f ca="1">IF(AND($B$31=1,LEN($AQ$37)&gt;0),$AQ$37/1000,HLOOKUP(INDIRECT(ADDRESS(2,COLUMN())),OFFSET($BN$2,0,0,ROW()-1,60),ROW()-1,FALSE))</f>
        <v>1073.4185</v>
      </c>
      <c r="AR15">
        <f ca="1">IF(AND($B$31=1,LEN($AR$37)&gt;0),$AR$37/1000,HLOOKUP(INDIRECT(ADDRESS(2,COLUMN())),OFFSET($BN$2,0,0,ROW()-1,60),ROW()-1,FALSE))</f>
        <v>1089.0500999999999</v>
      </c>
      <c r="AS15">
        <f ca="1">IF(AND($B$31=1,LEN($AS$37)&gt;0),$AS$37/1000,HLOOKUP(INDIRECT(ADDRESS(2,COLUMN())),OFFSET($BN$2,0,0,ROW()-1,60),ROW()-1,FALSE))</f>
        <v>1076.0422000000001</v>
      </c>
      <c r="AT15">
        <f ca="1">IF(AND($B$31=1,LEN($AT$37)&gt;0),$AT$37/1000,HLOOKUP(INDIRECT(ADDRESS(2,COLUMN())),OFFSET($BN$2,0,0,ROW()-1,60),ROW()-1,FALSE))</f>
        <v>1107.5444</v>
      </c>
      <c r="AU15">
        <f ca="1">IF(AND($B$31=1,LEN($AU$37)&gt;0),$AU$37/1000,HLOOKUP(INDIRECT(ADDRESS(2,COLUMN())),OFFSET($BN$2,0,0,ROW()-1,60),ROW()-1,FALSE))</f>
        <v>1054.8133</v>
      </c>
      <c r="AV15">
        <f ca="1">IF(AND($B$31=1,LEN($AV$37)&gt;0),$AV$37/1000,HLOOKUP(INDIRECT(ADDRESS(2,COLUMN())),OFFSET($BN$2,0,0,ROW()-1,60),ROW()-1,FALSE))</f>
        <v>1036.0301999999999</v>
      </c>
      <c r="AW15">
        <f ca="1">IF(AND($B$31=1,LEN($AW$37)&gt;0),$AW$37/1000,HLOOKUP(INDIRECT(ADDRESS(2,COLUMN())),OFFSET($BN$2,0,0,ROW()-1,60),ROW()-1,FALSE))</f>
        <v>1034.433</v>
      </c>
      <c r="AX15">
        <f ca="1">IF(AND($B$31=1,LEN($AX$37)&gt;0),$AX$37/1000,HLOOKUP(INDIRECT(ADDRESS(2,COLUMN())),OFFSET($BN$2,0,0,ROW()-1,60),ROW()-1,FALSE))</f>
        <v>1017.4632</v>
      </c>
      <c r="AY15">
        <f ca="1">IF(AND($B$31=1,LEN($AY$37)&gt;0),$AY$37/1000,HLOOKUP(INDIRECT(ADDRESS(2,COLUMN())),OFFSET($BN$2,0,0,ROW()-1,60),ROW()-1,FALSE))</f>
        <v>1009.1368</v>
      </c>
      <c r="AZ15">
        <f ca="1">IF(AND($B$31=1,LEN($AZ$37)&gt;0),$AZ$37/1000,HLOOKUP(INDIRECT(ADDRESS(2,COLUMN())),OFFSET($BN$2,0,0,ROW()-1,60),ROW()-1,FALSE))</f>
        <v>1006.7301</v>
      </c>
      <c r="BA15">
        <f ca="1">IF(AND($B$31=1,LEN($BA$37)&gt;0),$BA$37/1000,HLOOKUP(INDIRECT(ADDRESS(2,COLUMN())),OFFSET($BN$2,0,0,ROW()-1,60),ROW()-1,FALSE))</f>
        <v>1000.4734999999999</v>
      </c>
      <c r="BB15">
        <f ca="1">IF(AND($B$31=1,LEN($BB$37)&gt;0),$BB$37/1000,HLOOKUP(INDIRECT(ADDRESS(2,COLUMN())),OFFSET($BN$2,0,0,ROW()-1,60),ROW()-1,FALSE))</f>
        <v>987.10050000000001</v>
      </c>
      <c r="BC15">
        <f ca="1">IF(AND($B$31=1,LEN($BC$37)&gt;0),$BC$37/1000,HLOOKUP(INDIRECT(ADDRESS(2,COLUMN())),OFFSET($BN$2,0,0,ROW()-1,60),ROW()-1,FALSE))</f>
        <v>984.74429999999995</v>
      </c>
      <c r="BD15">
        <f ca="1">IF(AND($B$31=1,LEN($BD$37)&gt;0),$BD$37/1000,HLOOKUP(INDIRECT(ADDRESS(2,COLUMN())),OFFSET($BN$2,0,0,ROW()-1,60),ROW()-1,FALSE))</f>
        <v>986.93709999999999</v>
      </c>
      <c r="BE15">
        <f ca="1">IF(AND($B$31=1,LEN($BE$37)&gt;0),$BE$37/1000,HLOOKUP(INDIRECT(ADDRESS(2,COLUMN())),OFFSET($BN$2,0,0,ROW()-1,60),ROW()-1,FALSE))</f>
        <v>994.4606</v>
      </c>
      <c r="BF15">
        <f ca="1">IF(AND($B$31=1,LEN($BF$37)&gt;0),$BF$37/1000,HLOOKUP(INDIRECT(ADDRESS(2,COLUMN())),OFFSET($BN$2,0,0,ROW()-1,60),ROW()-1,FALSE))</f>
        <v>991.78840000000002</v>
      </c>
      <c r="BG15">
        <f ca="1">IF(AND($B$31=1,LEN($BG$37)&gt;0),$BG$37/1000,HLOOKUP(INDIRECT(ADDRESS(2,COLUMN())),OFFSET($BN$2,0,0,ROW()-1,60),ROW()-1,FALSE))</f>
        <v>991.75360000000001</v>
      </c>
      <c r="BH15">
        <f ca="1">IF(AND($B$31=1,LEN($BH$37)&gt;0),$BH$37/1000,HLOOKUP(INDIRECT(ADDRESS(2,COLUMN())),OFFSET($BN$2,0,0,ROW()-1,60),ROW()-1,FALSE))</f>
        <v>976.80010000000004</v>
      </c>
      <c r="BI15">
        <f ca="1">IF(AND($B$31=1,LEN($BI$37)&gt;0),$BI$37/1000,HLOOKUP(INDIRECT(ADDRESS(2,COLUMN())),OFFSET($BN$2,0,0,ROW()-1,60),ROW()-1,FALSE))</f>
        <v>983.51110000000006</v>
      </c>
      <c r="BJ15">
        <f ca="1">IF(AND($B$31=1,LEN($BJ$37)&gt;0),$BJ$37/1000,HLOOKUP(INDIRECT(ADDRESS(2,COLUMN())),OFFSET($BN$2,0,0,ROW()-1,60),ROW()-1,FALSE))</f>
        <v>979.90449999999998</v>
      </c>
      <c r="BK15">
        <f ca="1">IF(AND($B$31=1,LEN($BK$37)&gt;0),$BK$37/1000,HLOOKUP(INDIRECT(ADDRESS(2,COLUMN())),OFFSET($BN$2,0,0,ROW()-1,60),ROW()-1,FALSE))</f>
        <v>971.7704</v>
      </c>
      <c r="BL15">
        <f ca="1">IF(AND($B$31=1,LEN($BL$37)&gt;0),$BL$37/1000,HLOOKUP(INDIRECT(ADDRESS(2,COLUMN())),OFFSET($BN$2,0,0,ROW()-1,60),ROW()-1,FALSE))</f>
        <v>928.90970000000004</v>
      </c>
      <c r="BM15">
        <f ca="1">IF(AND($B$31=1,LEN($BM$37)&gt;0),$BM$37/1000,HLOOKUP(INDIRECT(ADDRESS(2,COLUMN())),OFFSET($BN$2,0,0,ROW()-1,60),ROW()-1,FALSE))</f>
        <v>903.23659999999995</v>
      </c>
      <c r="BN15" t="str">
        <f>""</f>
        <v/>
      </c>
      <c r="BO15">
        <f>1771.3466</f>
        <v>1771.3466000000001</v>
      </c>
      <c r="BP15">
        <f>1725.6107</f>
        <v>1725.6107</v>
      </c>
      <c r="BQ15">
        <f>1719.4159</f>
        <v>1719.4159</v>
      </c>
      <c r="BR15">
        <f>1715.2305</f>
        <v>1715.2304999999999</v>
      </c>
      <c r="BS15">
        <f>1674.8768</f>
        <v>1674.8768</v>
      </c>
      <c r="BT15">
        <f>1701.4948</f>
        <v>1701.4947999999999</v>
      </c>
      <c r="BU15">
        <f>1689.0504</f>
        <v>1689.0504000000001</v>
      </c>
      <c r="BV15">
        <f>1720.4325</f>
        <v>1720.4324999999999</v>
      </c>
      <c r="BW15">
        <f>1760.8557</f>
        <v>1760.8557000000001</v>
      </c>
      <c r="BX15">
        <f>1830.6155</f>
        <v>1830.6155000000001</v>
      </c>
      <c r="BY15">
        <f>1872.4235</f>
        <v>1872.4235000000001</v>
      </c>
      <c r="BZ15">
        <f>1781.8735</f>
        <v>1781.8734999999999</v>
      </c>
      <c r="CA15">
        <f>1651.3032</f>
        <v>1651.3032000000001</v>
      </c>
      <c r="CB15">
        <f>1562.8933</f>
        <v>1562.8933</v>
      </c>
      <c r="CC15">
        <f>1420.1319</f>
        <v>1420.1319000000001</v>
      </c>
      <c r="CD15">
        <f>1346.4746</f>
        <v>1346.4746</v>
      </c>
      <c r="CE15">
        <f>1278.0341</f>
        <v>1278.0341000000001</v>
      </c>
      <c r="CF15">
        <f>1242.434</f>
        <v>1242.434</v>
      </c>
      <c r="CG15">
        <f>1165.377</f>
        <v>1165.377</v>
      </c>
      <c r="CH15">
        <f>1025.4076</f>
        <v>1025.4076</v>
      </c>
      <c r="CI15">
        <f>1331.6365</f>
        <v>1331.6365000000001</v>
      </c>
      <c r="CJ15">
        <f>1377.3031</f>
        <v>1377.3031000000001</v>
      </c>
      <c r="CK15">
        <f>1311.0411</f>
        <v>1311.0410999999999</v>
      </c>
      <c r="CL15">
        <f>1348.3447</f>
        <v>1348.3447000000001</v>
      </c>
      <c r="CM15">
        <f>1301.6359</f>
        <v>1301.6359</v>
      </c>
      <c r="CN15">
        <f>1311.6032</f>
        <v>1311.6032</v>
      </c>
      <c r="CO15">
        <f>1281.0327</f>
        <v>1281.0327</v>
      </c>
      <c r="CP15">
        <f>1251.15</f>
        <v>1251.1500000000001</v>
      </c>
      <c r="CQ15">
        <f>1226.906</f>
        <v>1226.9059999999999</v>
      </c>
      <c r="CR15">
        <f>1214.0365</f>
        <v>1214.0364999999999</v>
      </c>
      <c r="CS15">
        <f>1181.5648</f>
        <v>1181.5648000000001</v>
      </c>
      <c r="CT15">
        <f>1212.8899</f>
        <v>1212.8898999999999</v>
      </c>
      <c r="CU15">
        <f>1164.4217</f>
        <v>1164.4217000000001</v>
      </c>
      <c r="CV15">
        <f>1138.7891</f>
        <v>1138.7891</v>
      </c>
      <c r="CW15">
        <f>1104.5099</f>
        <v>1104.5099</v>
      </c>
      <c r="CX15">
        <f>1083.2615</f>
        <v>1083.2615000000001</v>
      </c>
      <c r="CY15">
        <f>1073.4185</f>
        <v>1073.4185</v>
      </c>
      <c r="CZ15">
        <f>1089.0501</f>
        <v>1089.0500999999999</v>
      </c>
      <c r="DA15">
        <f>1076.0422</f>
        <v>1076.0422000000001</v>
      </c>
      <c r="DB15">
        <f>1107.5444</f>
        <v>1107.5444</v>
      </c>
      <c r="DC15">
        <f>1054.8133</f>
        <v>1054.8133</v>
      </c>
      <c r="DD15">
        <f>1036.0302</f>
        <v>1036.0301999999999</v>
      </c>
      <c r="DE15">
        <f>1034.433</f>
        <v>1034.433</v>
      </c>
      <c r="DF15">
        <f>1017.4632</f>
        <v>1017.4632</v>
      </c>
      <c r="DG15">
        <f>1009.1368</f>
        <v>1009.1368</v>
      </c>
      <c r="DH15">
        <f>1006.7301</f>
        <v>1006.7301</v>
      </c>
      <c r="DI15">
        <f>1000.4735</f>
        <v>1000.4734999999999</v>
      </c>
      <c r="DJ15">
        <f>987.1005</f>
        <v>987.10050000000001</v>
      </c>
      <c r="DK15">
        <f>984.7443</f>
        <v>984.74429999999995</v>
      </c>
      <c r="DL15">
        <f>986.9371</f>
        <v>986.93709999999999</v>
      </c>
      <c r="DM15">
        <f>994.4606</f>
        <v>994.4606</v>
      </c>
      <c r="DN15">
        <f>991.7884</f>
        <v>991.78840000000002</v>
      </c>
      <c r="DO15">
        <f>991.7536</f>
        <v>991.75360000000001</v>
      </c>
      <c r="DP15">
        <f>976.8001</f>
        <v>976.80010000000004</v>
      </c>
      <c r="DQ15">
        <f>983.5111</f>
        <v>983.51110000000006</v>
      </c>
      <c r="DR15">
        <f>979.9045</f>
        <v>979.90449999999998</v>
      </c>
      <c r="DS15">
        <f>971.7704</f>
        <v>971.7704</v>
      </c>
      <c r="DT15">
        <f>928.9097</f>
        <v>928.90970000000004</v>
      </c>
      <c r="DU15">
        <f>903.2366</f>
        <v>903.23659999999995</v>
      </c>
    </row>
    <row r="16" spans="1:125" x14ac:dyDescent="0.25">
      <c r="BN16" t="str">
        <f>""</f>
        <v/>
      </c>
      <c r="BO16" t="str">
        <f>""</f>
        <v/>
      </c>
      <c r="BP16" t="str">
        <f>""</f>
        <v/>
      </c>
      <c r="BQ16" t="str">
        <f>""</f>
        <v/>
      </c>
      <c r="BR16" t="str">
        <f>""</f>
        <v/>
      </c>
      <c r="BS16" t="str">
        <f>""</f>
        <v/>
      </c>
      <c r="BT16" t="str">
        <f>""</f>
        <v/>
      </c>
      <c r="BU16" t="str">
        <f>""</f>
        <v/>
      </c>
      <c r="BV16" t="str">
        <f>""</f>
        <v/>
      </c>
      <c r="BW16" t="str">
        <f>""</f>
        <v/>
      </c>
      <c r="BX16" t="str">
        <f>""</f>
        <v/>
      </c>
      <c r="BY16" t="str">
        <f>""</f>
        <v/>
      </c>
      <c r="BZ16" t="str">
        <f>""</f>
        <v/>
      </c>
      <c r="CA16" t="str">
        <f>""</f>
        <v/>
      </c>
      <c r="CB16" t="str">
        <f>""</f>
        <v/>
      </c>
      <c r="CC16" t="str">
        <f>""</f>
        <v/>
      </c>
      <c r="CD16" t="str">
        <f>""</f>
        <v/>
      </c>
      <c r="CE16" t="str">
        <f>""</f>
        <v/>
      </c>
      <c r="CF16" t="str">
        <f>""</f>
        <v/>
      </c>
      <c r="CG16" t="str">
        <f>""</f>
        <v/>
      </c>
      <c r="CH16" t="str">
        <f>""</f>
        <v/>
      </c>
      <c r="CI16" t="str">
        <f>""</f>
        <v/>
      </c>
      <c r="CJ16" t="str">
        <f>""</f>
        <v/>
      </c>
      <c r="CK16" t="str">
        <f>""</f>
        <v/>
      </c>
      <c r="CL16" t="str">
        <f>""</f>
        <v/>
      </c>
      <c r="CM16" t="str">
        <f>""</f>
        <v/>
      </c>
      <c r="CN16" t="str">
        <f>""</f>
        <v/>
      </c>
      <c r="CO16" t="str">
        <f>""</f>
        <v/>
      </c>
      <c r="CP16" t="str">
        <f>""</f>
        <v/>
      </c>
      <c r="CQ16" t="str">
        <f>""</f>
        <v/>
      </c>
      <c r="CR16" t="str">
        <f>""</f>
        <v/>
      </c>
      <c r="CS16" t="str">
        <f>""</f>
        <v/>
      </c>
      <c r="CT16" t="str">
        <f>""</f>
        <v/>
      </c>
      <c r="CU16" t="str">
        <f>""</f>
        <v/>
      </c>
      <c r="CV16" t="str">
        <f>""</f>
        <v/>
      </c>
      <c r="CW16" t="str">
        <f>""</f>
        <v/>
      </c>
      <c r="CX16" t="str">
        <f>""</f>
        <v/>
      </c>
      <c r="CY16" t="str">
        <f>""</f>
        <v/>
      </c>
      <c r="CZ16" t="str">
        <f>""</f>
        <v/>
      </c>
      <c r="DA16" t="str">
        <f>""</f>
        <v/>
      </c>
      <c r="DB16" t="str">
        <f>""</f>
        <v/>
      </c>
      <c r="DC16" t="str">
        <f>""</f>
        <v/>
      </c>
      <c r="DD16" t="str">
        <f>""</f>
        <v/>
      </c>
      <c r="DE16" t="str">
        <f>""</f>
        <v/>
      </c>
      <c r="DF16" t="str">
        <f>""</f>
        <v/>
      </c>
      <c r="DG16" t="str">
        <f>""</f>
        <v/>
      </c>
      <c r="DH16" t="str">
        <f>""</f>
        <v/>
      </c>
      <c r="DI16" t="str">
        <f>""</f>
        <v/>
      </c>
      <c r="DJ16" t="str">
        <f>""</f>
        <v/>
      </c>
      <c r="DK16" t="str">
        <f>""</f>
        <v/>
      </c>
      <c r="DL16" t="str">
        <f>""</f>
        <v/>
      </c>
      <c r="DM16" t="str">
        <f>""</f>
        <v/>
      </c>
      <c r="DN16" t="str">
        <f>""</f>
        <v/>
      </c>
      <c r="DO16" t="str">
        <f>""</f>
        <v/>
      </c>
      <c r="DP16" t="str">
        <f>""</f>
        <v/>
      </c>
      <c r="DQ16" t="str">
        <f>""</f>
        <v/>
      </c>
      <c r="DR16" t="str">
        <f>""</f>
        <v/>
      </c>
      <c r="DS16" t="str">
        <f>""</f>
        <v/>
      </c>
      <c r="DT16" t="str">
        <f>""</f>
        <v/>
      </c>
      <c r="DU16" t="str">
        <f>""</f>
        <v/>
      </c>
    </row>
    <row r="17" spans="1:125" x14ac:dyDescent="0.25">
      <c r="BN17" t="str">
        <f>""</f>
        <v/>
      </c>
      <c r="BO17" t="str">
        <f>""</f>
        <v/>
      </c>
      <c r="BP17" t="str">
        <f>""</f>
        <v/>
      </c>
      <c r="BQ17" t="str">
        <f>""</f>
        <v/>
      </c>
      <c r="BR17" t="str">
        <f>""</f>
        <v/>
      </c>
      <c r="BS17" t="str">
        <f>""</f>
        <v/>
      </c>
      <c r="BT17" t="str">
        <f>""</f>
        <v/>
      </c>
      <c r="BU17" t="str">
        <f>""</f>
        <v/>
      </c>
      <c r="BV17" t="str">
        <f>""</f>
        <v/>
      </c>
      <c r="BW17" t="str">
        <f>""</f>
        <v/>
      </c>
      <c r="BX17" t="str">
        <f>""</f>
        <v/>
      </c>
      <c r="BY17" t="str">
        <f>""</f>
        <v/>
      </c>
      <c r="BZ17" t="str">
        <f>""</f>
        <v/>
      </c>
      <c r="CA17" t="str">
        <f>""</f>
        <v/>
      </c>
      <c r="CB17" t="str">
        <f>""</f>
        <v/>
      </c>
      <c r="CC17" t="str">
        <f>""</f>
        <v/>
      </c>
      <c r="CD17" t="str">
        <f>""</f>
        <v/>
      </c>
      <c r="CE17" t="str">
        <f>""</f>
        <v/>
      </c>
      <c r="CF17" t="str">
        <f>""</f>
        <v/>
      </c>
      <c r="CG17" t="str">
        <f>""</f>
        <v/>
      </c>
      <c r="CH17" t="str">
        <f>""</f>
        <v/>
      </c>
      <c r="CI17" t="str">
        <f>""</f>
        <v/>
      </c>
      <c r="CJ17" t="str">
        <f>""</f>
        <v/>
      </c>
      <c r="CK17" t="str">
        <f>""</f>
        <v/>
      </c>
      <c r="CL17" t="str">
        <f>""</f>
        <v/>
      </c>
      <c r="CM17" t="str">
        <f>""</f>
        <v/>
      </c>
      <c r="CN17" t="str">
        <f>""</f>
        <v/>
      </c>
      <c r="CO17" t="str">
        <f>""</f>
        <v/>
      </c>
      <c r="CP17" t="str">
        <f>""</f>
        <v/>
      </c>
      <c r="CQ17" t="str">
        <f>""</f>
        <v/>
      </c>
      <c r="CR17" t="str">
        <f>""</f>
        <v/>
      </c>
      <c r="CS17" t="str">
        <f>""</f>
        <v/>
      </c>
      <c r="CT17" t="str">
        <f>""</f>
        <v/>
      </c>
      <c r="CU17" t="str">
        <f>""</f>
        <v/>
      </c>
      <c r="CV17" t="str">
        <f>""</f>
        <v/>
      </c>
      <c r="CW17" t="str">
        <f>""</f>
        <v/>
      </c>
      <c r="CX17" t="str">
        <f>""</f>
        <v/>
      </c>
      <c r="CY17" t="str">
        <f>""</f>
        <v/>
      </c>
      <c r="CZ17" t="str">
        <f>""</f>
        <v/>
      </c>
      <c r="DA17" t="str">
        <f>""</f>
        <v/>
      </c>
      <c r="DB17" t="str">
        <f>""</f>
        <v/>
      </c>
      <c r="DC17" t="str">
        <f>""</f>
        <v/>
      </c>
      <c r="DD17" t="str">
        <f>""</f>
        <v/>
      </c>
      <c r="DE17" t="str">
        <f>""</f>
        <v/>
      </c>
      <c r="DF17" t="str">
        <f>""</f>
        <v/>
      </c>
      <c r="DG17" t="str">
        <f>""</f>
        <v/>
      </c>
      <c r="DH17" t="str">
        <f>""</f>
        <v/>
      </c>
      <c r="DI17" t="str">
        <f>""</f>
        <v/>
      </c>
      <c r="DJ17" t="str">
        <f>""</f>
        <v/>
      </c>
      <c r="DK17" t="str">
        <f>""</f>
        <v/>
      </c>
      <c r="DL17" t="str">
        <f>""</f>
        <v/>
      </c>
      <c r="DM17" t="str">
        <f>""</f>
        <v/>
      </c>
      <c r="DN17" t="str">
        <f>""</f>
        <v/>
      </c>
      <c r="DO17" t="str">
        <f>""</f>
        <v/>
      </c>
      <c r="DP17" t="str">
        <f>""</f>
        <v/>
      </c>
      <c r="DQ17" t="str">
        <f>""</f>
        <v/>
      </c>
      <c r="DR17" t="str">
        <f>""</f>
        <v/>
      </c>
      <c r="DS17" t="str">
        <f>""</f>
        <v/>
      </c>
      <c r="DT17" t="str">
        <f>""</f>
        <v/>
      </c>
      <c r="DU17" t="str">
        <f>""</f>
        <v/>
      </c>
    </row>
    <row r="18" spans="1:125" x14ac:dyDescent="0.25">
      <c r="BN18" t="str">
        <f>""</f>
        <v/>
      </c>
      <c r="BO18" t="str">
        <f>""</f>
        <v/>
      </c>
      <c r="BP18" t="str">
        <f>""</f>
        <v/>
      </c>
      <c r="BQ18" t="str">
        <f>""</f>
        <v/>
      </c>
      <c r="BR18" t="str">
        <f>""</f>
        <v/>
      </c>
      <c r="BS18" t="str">
        <f>""</f>
        <v/>
      </c>
      <c r="BT18" t="str">
        <f>""</f>
        <v/>
      </c>
      <c r="BU18" t="str">
        <f>""</f>
        <v/>
      </c>
      <c r="BV18" t="str">
        <f>""</f>
        <v/>
      </c>
      <c r="BW18" t="str">
        <f>""</f>
        <v/>
      </c>
      <c r="BX18" t="str">
        <f>""</f>
        <v/>
      </c>
      <c r="BY18" t="str">
        <f>""</f>
        <v/>
      </c>
      <c r="BZ18" t="str">
        <f>""</f>
        <v/>
      </c>
      <c r="CA18" t="str">
        <f>""</f>
        <v/>
      </c>
      <c r="CB18" t="str">
        <f>""</f>
        <v/>
      </c>
      <c r="CC18" t="str">
        <f>""</f>
        <v/>
      </c>
      <c r="CD18" t="str">
        <f>""</f>
        <v/>
      </c>
      <c r="CE18" t="str">
        <f>""</f>
        <v/>
      </c>
      <c r="CF18" t="str">
        <f>""</f>
        <v/>
      </c>
      <c r="CG18" t="str">
        <f>""</f>
        <v/>
      </c>
      <c r="CH18" t="str">
        <f>""</f>
        <v/>
      </c>
      <c r="CI18" t="str">
        <f>""</f>
        <v/>
      </c>
      <c r="CJ18" t="str">
        <f>""</f>
        <v/>
      </c>
      <c r="CK18" t="str">
        <f>""</f>
        <v/>
      </c>
      <c r="CL18" t="str">
        <f>""</f>
        <v/>
      </c>
      <c r="CM18" t="str">
        <f>""</f>
        <v/>
      </c>
      <c r="CN18" t="str">
        <f>""</f>
        <v/>
      </c>
      <c r="CO18" t="str">
        <f>""</f>
        <v/>
      </c>
      <c r="CP18" t="str">
        <f>""</f>
        <v/>
      </c>
      <c r="CQ18" t="str">
        <f>""</f>
        <v/>
      </c>
      <c r="CR18" t="str">
        <f>""</f>
        <v/>
      </c>
      <c r="CS18" t="str">
        <f>""</f>
        <v/>
      </c>
      <c r="CT18" t="str">
        <f>""</f>
        <v/>
      </c>
      <c r="CU18" t="str">
        <f>""</f>
        <v/>
      </c>
      <c r="CV18" t="str">
        <f>""</f>
        <v/>
      </c>
      <c r="CW18" t="str">
        <f>""</f>
        <v/>
      </c>
      <c r="CX18" t="str">
        <f>""</f>
        <v/>
      </c>
      <c r="CY18" t="str">
        <f>""</f>
        <v/>
      </c>
      <c r="CZ18" t="str">
        <f>""</f>
        <v/>
      </c>
      <c r="DA18" t="str">
        <f>""</f>
        <v/>
      </c>
      <c r="DB18" t="str">
        <f>""</f>
        <v/>
      </c>
      <c r="DC18" t="str">
        <f>""</f>
        <v/>
      </c>
      <c r="DD18" t="str">
        <f>""</f>
        <v/>
      </c>
      <c r="DE18" t="str">
        <f>""</f>
        <v/>
      </c>
      <c r="DF18" t="str">
        <f>""</f>
        <v/>
      </c>
      <c r="DG18" t="str">
        <f>""</f>
        <v/>
      </c>
      <c r="DH18" t="str">
        <f>""</f>
        <v/>
      </c>
      <c r="DI18" t="str">
        <f>""</f>
        <v/>
      </c>
      <c r="DJ18" t="str">
        <f>""</f>
        <v/>
      </c>
      <c r="DK18" t="str">
        <f>""</f>
        <v/>
      </c>
      <c r="DL18" t="str">
        <f>""</f>
        <v/>
      </c>
      <c r="DM18" t="str">
        <f>""</f>
        <v/>
      </c>
      <c r="DN18" t="str">
        <f>""</f>
        <v/>
      </c>
      <c r="DO18" t="str">
        <f>""</f>
        <v/>
      </c>
      <c r="DP18" t="str">
        <f>""</f>
        <v/>
      </c>
      <c r="DQ18" t="str">
        <f>""</f>
        <v/>
      </c>
      <c r="DR18" t="str">
        <f>""</f>
        <v/>
      </c>
      <c r="DS18" t="str">
        <f>""</f>
        <v/>
      </c>
      <c r="DT18" t="str">
        <f>""</f>
        <v/>
      </c>
      <c r="DU18" t="str">
        <f>""</f>
        <v/>
      </c>
    </row>
    <row r="19" spans="1:125" x14ac:dyDescent="0.25">
      <c r="BN19" t="str">
        <f>""</f>
        <v/>
      </c>
      <c r="BO19" t="str">
        <f>""</f>
        <v/>
      </c>
      <c r="BP19" t="str">
        <f>""</f>
        <v/>
      </c>
      <c r="BQ19" t="str">
        <f>""</f>
        <v/>
      </c>
      <c r="BR19" t="str">
        <f>""</f>
        <v/>
      </c>
      <c r="BS19" t="str">
        <f>""</f>
        <v/>
      </c>
      <c r="BT19" t="str">
        <f>""</f>
        <v/>
      </c>
      <c r="BU19" t="str">
        <f>""</f>
        <v/>
      </c>
      <c r="BV19" t="str">
        <f>""</f>
        <v/>
      </c>
      <c r="BW19" t="str">
        <f>""</f>
        <v/>
      </c>
      <c r="BX19" t="str">
        <f>""</f>
        <v/>
      </c>
      <c r="BY19" t="str">
        <f>""</f>
        <v/>
      </c>
      <c r="BZ19" t="str">
        <f>""</f>
        <v/>
      </c>
      <c r="CA19" t="str">
        <f>""</f>
        <v/>
      </c>
      <c r="CB19" t="str">
        <f>""</f>
        <v/>
      </c>
      <c r="CC19" t="str">
        <f>""</f>
        <v/>
      </c>
      <c r="CD19" t="str">
        <f>""</f>
        <v/>
      </c>
      <c r="CE19" t="str">
        <f>""</f>
        <v/>
      </c>
      <c r="CF19" t="str">
        <f>""</f>
        <v/>
      </c>
      <c r="CG19" t="str">
        <f>""</f>
        <v/>
      </c>
      <c r="CH19" t="str">
        <f>""</f>
        <v/>
      </c>
      <c r="CI19" t="str">
        <f>""</f>
        <v/>
      </c>
      <c r="CJ19" t="str">
        <f>""</f>
        <v/>
      </c>
      <c r="CK19" t="str">
        <f>""</f>
        <v/>
      </c>
      <c r="CL19" t="str">
        <f>""</f>
        <v/>
      </c>
      <c r="CM19" t="str">
        <f>""</f>
        <v/>
      </c>
      <c r="CN19" t="str">
        <f>""</f>
        <v/>
      </c>
      <c r="CO19" t="str">
        <f>""</f>
        <v/>
      </c>
      <c r="CP19" t="str">
        <f>""</f>
        <v/>
      </c>
      <c r="CQ19" t="str">
        <f>""</f>
        <v/>
      </c>
      <c r="CR19" t="str">
        <f>""</f>
        <v/>
      </c>
      <c r="CS19" t="str">
        <f>""</f>
        <v/>
      </c>
      <c r="CT19" t="str">
        <f>""</f>
        <v/>
      </c>
      <c r="CU19" t="str">
        <f>""</f>
        <v/>
      </c>
      <c r="CV19" t="str">
        <f>""</f>
        <v/>
      </c>
      <c r="CW19" t="str">
        <f>""</f>
        <v/>
      </c>
      <c r="CX19" t="str">
        <f>""</f>
        <v/>
      </c>
      <c r="CY19" t="str">
        <f>""</f>
        <v/>
      </c>
      <c r="CZ19" t="str">
        <f>""</f>
        <v/>
      </c>
      <c r="DA19" t="str">
        <f>""</f>
        <v/>
      </c>
      <c r="DB19" t="str">
        <f>""</f>
        <v/>
      </c>
      <c r="DC19" t="str">
        <f>""</f>
        <v/>
      </c>
      <c r="DD19" t="str">
        <f>""</f>
        <v/>
      </c>
      <c r="DE19" t="str">
        <f>""</f>
        <v/>
      </c>
      <c r="DF19" t="str">
        <f>""</f>
        <v/>
      </c>
      <c r="DG19" t="str">
        <f>""</f>
        <v/>
      </c>
      <c r="DH19" t="str">
        <f>""</f>
        <v/>
      </c>
      <c r="DI19" t="str">
        <f>""</f>
        <v/>
      </c>
      <c r="DJ19" t="str">
        <f>""</f>
        <v/>
      </c>
      <c r="DK19" t="str">
        <f>""</f>
        <v/>
      </c>
      <c r="DL19" t="str">
        <f>""</f>
        <v/>
      </c>
      <c r="DM19" t="str">
        <f>""</f>
        <v/>
      </c>
      <c r="DN19" t="str">
        <f>""</f>
        <v/>
      </c>
      <c r="DO19" t="str">
        <f>""</f>
        <v/>
      </c>
      <c r="DP19" t="str">
        <f>""</f>
        <v/>
      </c>
      <c r="DQ19" t="str">
        <f>""</f>
        <v/>
      </c>
      <c r="DR19" t="str">
        <f>""</f>
        <v/>
      </c>
      <c r="DS19" t="str">
        <f>""</f>
        <v/>
      </c>
      <c r="DT19" t="str">
        <f>""</f>
        <v/>
      </c>
      <c r="DU19" t="str">
        <f>""</f>
        <v/>
      </c>
    </row>
    <row r="20" spans="1:125" x14ac:dyDescent="0.25">
      <c r="BN20" t="str">
        <f>""</f>
        <v/>
      </c>
      <c r="BO20" t="str">
        <f>""</f>
        <v/>
      </c>
      <c r="BP20" t="str">
        <f>""</f>
        <v/>
      </c>
      <c r="BQ20" t="str">
        <f>""</f>
        <v/>
      </c>
      <c r="BR20" t="str">
        <f>""</f>
        <v/>
      </c>
      <c r="BS20" t="str">
        <f>""</f>
        <v/>
      </c>
      <c r="BT20" t="str">
        <f>""</f>
        <v/>
      </c>
      <c r="BU20" t="str">
        <f>""</f>
        <v/>
      </c>
      <c r="BV20" t="str">
        <f>""</f>
        <v/>
      </c>
      <c r="BW20" t="str">
        <f>""</f>
        <v/>
      </c>
      <c r="BX20" t="str">
        <f>""</f>
        <v/>
      </c>
      <c r="BY20" t="str">
        <f>""</f>
        <v/>
      </c>
      <c r="BZ20" t="str">
        <f>""</f>
        <v/>
      </c>
      <c r="CA20" t="str">
        <f>""</f>
        <v/>
      </c>
      <c r="CB20" t="str">
        <f>""</f>
        <v/>
      </c>
      <c r="CC20" t="str">
        <f>""</f>
        <v/>
      </c>
      <c r="CD20" t="str">
        <f>""</f>
        <v/>
      </c>
      <c r="CE20" t="str">
        <f>""</f>
        <v/>
      </c>
      <c r="CF20" t="str">
        <f>""</f>
        <v/>
      </c>
      <c r="CG20" t="str">
        <f>""</f>
        <v/>
      </c>
      <c r="CH20" t="str">
        <f>""</f>
        <v/>
      </c>
      <c r="CI20" t="str">
        <f>""</f>
        <v/>
      </c>
      <c r="CJ20" t="str">
        <f>""</f>
        <v/>
      </c>
      <c r="CK20" t="str">
        <f>""</f>
        <v/>
      </c>
      <c r="CL20" t="str">
        <f>""</f>
        <v/>
      </c>
      <c r="CM20" t="str">
        <f>""</f>
        <v/>
      </c>
      <c r="CN20" t="str">
        <f>""</f>
        <v/>
      </c>
      <c r="CO20" t="str">
        <f>""</f>
        <v/>
      </c>
      <c r="CP20" t="str">
        <f>""</f>
        <v/>
      </c>
      <c r="CQ20" t="str">
        <f>""</f>
        <v/>
      </c>
      <c r="CR20" t="str">
        <f>""</f>
        <v/>
      </c>
      <c r="CS20" t="str">
        <f>""</f>
        <v/>
      </c>
      <c r="CT20" t="str">
        <f>""</f>
        <v/>
      </c>
      <c r="CU20" t="str">
        <f>""</f>
        <v/>
      </c>
      <c r="CV20" t="str">
        <f>""</f>
        <v/>
      </c>
      <c r="CW20" t="str">
        <f>""</f>
        <v/>
      </c>
      <c r="CX20" t="str">
        <f>""</f>
        <v/>
      </c>
      <c r="CY20" t="str">
        <f>""</f>
        <v/>
      </c>
      <c r="CZ20" t="str">
        <f>""</f>
        <v/>
      </c>
      <c r="DA20" t="str">
        <f>""</f>
        <v/>
      </c>
      <c r="DB20" t="str">
        <f>""</f>
        <v/>
      </c>
      <c r="DC20" t="str">
        <f>""</f>
        <v/>
      </c>
      <c r="DD20" t="str">
        <f>""</f>
        <v/>
      </c>
      <c r="DE20" t="str">
        <f>""</f>
        <v/>
      </c>
      <c r="DF20" t="str">
        <f>""</f>
        <v/>
      </c>
      <c r="DG20" t="str">
        <f>""</f>
        <v/>
      </c>
      <c r="DH20" t="str">
        <f>""</f>
        <v/>
      </c>
      <c r="DI20" t="str">
        <f>""</f>
        <v/>
      </c>
      <c r="DJ20" t="str">
        <f>""</f>
        <v/>
      </c>
      <c r="DK20" t="str">
        <f>""</f>
        <v/>
      </c>
      <c r="DL20" t="str">
        <f>""</f>
        <v/>
      </c>
      <c r="DM20" t="str">
        <f>""</f>
        <v/>
      </c>
      <c r="DN20" t="str">
        <f>""</f>
        <v/>
      </c>
      <c r="DO20" t="str">
        <f>""</f>
        <v/>
      </c>
      <c r="DP20" t="str">
        <f>""</f>
        <v/>
      </c>
      <c r="DQ20" t="str">
        <f>""</f>
        <v/>
      </c>
      <c r="DR20" t="str">
        <f>""</f>
        <v/>
      </c>
      <c r="DS20" t="str">
        <f>""</f>
        <v/>
      </c>
      <c r="DT20" t="str">
        <f>""</f>
        <v/>
      </c>
      <c r="DU20" t="str">
        <f>""</f>
        <v/>
      </c>
    </row>
    <row r="21" spans="1:125" x14ac:dyDescent="0.25">
      <c r="BN21" t="str">
        <f>""</f>
        <v/>
      </c>
      <c r="BO21" t="str">
        <f>""</f>
        <v/>
      </c>
      <c r="BP21" t="str">
        <f>""</f>
        <v/>
      </c>
      <c r="BQ21" t="str">
        <f>""</f>
        <v/>
      </c>
      <c r="BR21" t="str">
        <f>""</f>
        <v/>
      </c>
      <c r="BS21" t="str">
        <f>""</f>
        <v/>
      </c>
      <c r="BT21" t="str">
        <f>""</f>
        <v/>
      </c>
      <c r="BU21" t="str">
        <f>""</f>
        <v/>
      </c>
      <c r="BV21" t="str">
        <f>""</f>
        <v/>
      </c>
      <c r="BW21" t="str">
        <f>""</f>
        <v/>
      </c>
      <c r="BX21" t="str">
        <f>""</f>
        <v/>
      </c>
      <c r="BY21" t="str">
        <f>""</f>
        <v/>
      </c>
      <c r="BZ21" t="str">
        <f>""</f>
        <v/>
      </c>
      <c r="CA21" t="str">
        <f>""</f>
        <v/>
      </c>
      <c r="CB21" t="str">
        <f>""</f>
        <v/>
      </c>
      <c r="CC21" t="str">
        <f>""</f>
        <v/>
      </c>
      <c r="CD21" t="str">
        <f>""</f>
        <v/>
      </c>
      <c r="CE21" t="str">
        <f>""</f>
        <v/>
      </c>
      <c r="CF21" t="str">
        <f>""</f>
        <v/>
      </c>
      <c r="CG21" t="str">
        <f>""</f>
        <v/>
      </c>
      <c r="CH21" t="str">
        <f>""</f>
        <v/>
      </c>
      <c r="CI21" t="str">
        <f>""</f>
        <v/>
      </c>
      <c r="CJ21" t="str">
        <f>""</f>
        <v/>
      </c>
      <c r="CK21" t="str">
        <f>""</f>
        <v/>
      </c>
      <c r="CL21" t="str">
        <f>""</f>
        <v/>
      </c>
      <c r="CM21" t="str">
        <f>""</f>
        <v/>
      </c>
      <c r="CN21" t="str">
        <f>""</f>
        <v/>
      </c>
      <c r="CO21" t="str">
        <f>""</f>
        <v/>
      </c>
      <c r="CP21" t="str">
        <f>""</f>
        <v/>
      </c>
      <c r="CQ21" t="str">
        <f>""</f>
        <v/>
      </c>
      <c r="CR21" t="str">
        <f>""</f>
        <v/>
      </c>
      <c r="CS21" t="str">
        <f>""</f>
        <v/>
      </c>
      <c r="CT21" t="str">
        <f>""</f>
        <v/>
      </c>
      <c r="CU21" t="str">
        <f>""</f>
        <v/>
      </c>
      <c r="CV21" t="str">
        <f>""</f>
        <v/>
      </c>
      <c r="CW21" t="str">
        <f>""</f>
        <v/>
      </c>
      <c r="CX21" t="str">
        <f>""</f>
        <v/>
      </c>
      <c r="CY21" t="str">
        <f>""</f>
        <v/>
      </c>
      <c r="CZ21" t="str">
        <f>""</f>
        <v/>
      </c>
      <c r="DA21" t="str">
        <f>""</f>
        <v/>
      </c>
      <c r="DB21" t="str">
        <f>""</f>
        <v/>
      </c>
      <c r="DC21" t="str">
        <f>""</f>
        <v/>
      </c>
      <c r="DD21" t="str">
        <f>""</f>
        <v/>
      </c>
      <c r="DE21" t="str">
        <f>""</f>
        <v/>
      </c>
      <c r="DF21" t="str">
        <f>""</f>
        <v/>
      </c>
      <c r="DG21" t="str">
        <f>""</f>
        <v/>
      </c>
      <c r="DH21" t="str">
        <f>""</f>
        <v/>
      </c>
      <c r="DI21" t="str">
        <f>""</f>
        <v/>
      </c>
      <c r="DJ21" t="str">
        <f>""</f>
        <v/>
      </c>
      <c r="DK21" t="str">
        <f>""</f>
        <v/>
      </c>
      <c r="DL21" t="str">
        <f>""</f>
        <v/>
      </c>
      <c r="DM21" t="str">
        <f>""</f>
        <v/>
      </c>
      <c r="DN21" t="str">
        <f>""</f>
        <v/>
      </c>
      <c r="DO21" t="str">
        <f>""</f>
        <v/>
      </c>
      <c r="DP21" t="str">
        <f>""</f>
        <v/>
      </c>
      <c r="DQ21" t="str">
        <f>""</f>
        <v/>
      </c>
      <c r="DR21" t="str">
        <f>""</f>
        <v/>
      </c>
      <c r="DS21" t="str">
        <f>""</f>
        <v/>
      </c>
      <c r="DT21" t="str">
        <f>""</f>
        <v/>
      </c>
      <c r="DU21" t="str">
        <f>""</f>
        <v/>
      </c>
    </row>
    <row r="22" spans="1:125" x14ac:dyDescent="0.25">
      <c r="BN22" t="str">
        <f>""</f>
        <v/>
      </c>
      <c r="BO22" t="str">
        <f>""</f>
        <v/>
      </c>
      <c r="BP22" t="str">
        <f>""</f>
        <v/>
      </c>
      <c r="BQ22" t="str">
        <f>""</f>
        <v/>
      </c>
      <c r="BR22" t="str">
        <f>""</f>
        <v/>
      </c>
      <c r="BS22" t="str">
        <f>""</f>
        <v/>
      </c>
      <c r="BT22" t="str">
        <f>""</f>
        <v/>
      </c>
      <c r="BU22" t="str">
        <f>""</f>
        <v/>
      </c>
      <c r="BV22" t="str">
        <f>""</f>
        <v/>
      </c>
      <c r="BW22" t="str">
        <f>""</f>
        <v/>
      </c>
      <c r="BX22" t="str">
        <f>""</f>
        <v/>
      </c>
      <c r="BY22" t="str">
        <f>""</f>
        <v/>
      </c>
      <c r="BZ22" t="str">
        <f>""</f>
        <v/>
      </c>
      <c r="CA22" t="str">
        <f>""</f>
        <v/>
      </c>
      <c r="CB22" t="str">
        <f>""</f>
        <v/>
      </c>
      <c r="CC22" t="str">
        <f>""</f>
        <v/>
      </c>
      <c r="CD22" t="str">
        <f>""</f>
        <v/>
      </c>
      <c r="CE22" t="str">
        <f>""</f>
        <v/>
      </c>
      <c r="CF22" t="str">
        <f>""</f>
        <v/>
      </c>
      <c r="CG22" t="str">
        <f>""</f>
        <v/>
      </c>
      <c r="CH22" t="str">
        <f>""</f>
        <v/>
      </c>
      <c r="CI22" t="str">
        <f>""</f>
        <v/>
      </c>
      <c r="CJ22" t="str">
        <f>""</f>
        <v/>
      </c>
      <c r="CK22" t="str">
        <f>""</f>
        <v/>
      </c>
      <c r="CL22" t="str">
        <f>""</f>
        <v/>
      </c>
      <c r="CM22" t="str">
        <f>""</f>
        <v/>
      </c>
      <c r="CN22" t="str">
        <f>""</f>
        <v/>
      </c>
      <c r="CO22" t="str">
        <f>""</f>
        <v/>
      </c>
      <c r="CP22" t="str">
        <f>""</f>
        <v/>
      </c>
      <c r="CQ22" t="str">
        <f>""</f>
        <v/>
      </c>
      <c r="CR22" t="str">
        <f>""</f>
        <v/>
      </c>
      <c r="CS22" t="str">
        <f>""</f>
        <v/>
      </c>
      <c r="CT22" t="str">
        <f>""</f>
        <v/>
      </c>
      <c r="CU22" t="str">
        <f>""</f>
        <v/>
      </c>
      <c r="CV22" t="str">
        <f>""</f>
        <v/>
      </c>
      <c r="CW22" t="str">
        <f>""</f>
        <v/>
      </c>
      <c r="CX22" t="str">
        <f>""</f>
        <v/>
      </c>
      <c r="CY22" t="str">
        <f>""</f>
        <v/>
      </c>
      <c r="CZ22" t="str">
        <f>""</f>
        <v/>
      </c>
      <c r="DA22" t="str">
        <f>""</f>
        <v/>
      </c>
      <c r="DB22" t="str">
        <f>""</f>
        <v/>
      </c>
      <c r="DC22" t="str">
        <f>""</f>
        <v/>
      </c>
      <c r="DD22" t="str">
        <f>""</f>
        <v/>
      </c>
      <c r="DE22" t="str">
        <f>""</f>
        <v/>
      </c>
      <c r="DF22" t="str">
        <f>""</f>
        <v/>
      </c>
      <c r="DG22" t="str">
        <f>""</f>
        <v/>
      </c>
      <c r="DH22" t="str">
        <f>""</f>
        <v/>
      </c>
      <c r="DI22" t="str">
        <f>""</f>
        <v/>
      </c>
      <c r="DJ22" t="str">
        <f>""</f>
        <v/>
      </c>
      <c r="DK22" t="str">
        <f>""</f>
        <v/>
      </c>
      <c r="DL22" t="str">
        <f>""</f>
        <v/>
      </c>
      <c r="DM22" t="str">
        <f>""</f>
        <v/>
      </c>
      <c r="DN22" t="str">
        <f>""</f>
        <v/>
      </c>
      <c r="DO22" t="str">
        <f>""</f>
        <v/>
      </c>
      <c r="DP22" t="str">
        <f>""</f>
        <v/>
      </c>
      <c r="DQ22" t="str">
        <f>""</f>
        <v/>
      </c>
      <c r="DR22" t="str">
        <f>""</f>
        <v/>
      </c>
      <c r="DS22" t="str">
        <f>""</f>
        <v/>
      </c>
      <c r="DT22" t="str">
        <f>""</f>
        <v/>
      </c>
      <c r="DU22" t="str">
        <f>""</f>
        <v/>
      </c>
    </row>
    <row r="23" spans="1:125" x14ac:dyDescent="0.25">
      <c r="A23" t="str">
        <f t="shared" ref="A23:AF23" si="3">"~~~~~~~~~~"</f>
        <v>~~~~~~~~~~</v>
      </c>
      <c r="B23" t="str">
        <f t="shared" si="3"/>
        <v>~~~~~~~~~~</v>
      </c>
      <c r="C23" t="str">
        <f t="shared" si="3"/>
        <v>~~~~~~~~~~</v>
      </c>
      <c r="D23" t="str">
        <f t="shared" si="3"/>
        <v>~~~~~~~~~~</v>
      </c>
      <c r="E23" t="str">
        <f t="shared" si="3"/>
        <v>~~~~~~~~~~</v>
      </c>
      <c r="F23" t="str">
        <f t="shared" si="3"/>
        <v>~~~~~~~~~~</v>
      </c>
      <c r="G23" t="str">
        <f t="shared" si="3"/>
        <v>~~~~~~~~~~</v>
      </c>
      <c r="H23" t="str">
        <f t="shared" si="3"/>
        <v>~~~~~~~~~~</v>
      </c>
      <c r="I23" t="str">
        <f t="shared" si="3"/>
        <v>~~~~~~~~~~</v>
      </c>
      <c r="J23" t="str">
        <f t="shared" si="3"/>
        <v>~~~~~~~~~~</v>
      </c>
      <c r="K23" t="str">
        <f t="shared" si="3"/>
        <v>~~~~~~~~~~</v>
      </c>
      <c r="L23" t="str">
        <f t="shared" si="3"/>
        <v>~~~~~~~~~~</v>
      </c>
      <c r="M23" t="str">
        <f t="shared" si="3"/>
        <v>~~~~~~~~~~</v>
      </c>
      <c r="N23" t="str">
        <f t="shared" si="3"/>
        <v>~~~~~~~~~~</v>
      </c>
      <c r="O23" t="str">
        <f t="shared" si="3"/>
        <v>~~~~~~~~~~</v>
      </c>
      <c r="P23" t="str">
        <f t="shared" si="3"/>
        <v>~~~~~~~~~~</v>
      </c>
      <c r="Q23" t="str">
        <f t="shared" si="3"/>
        <v>~~~~~~~~~~</v>
      </c>
      <c r="R23" t="str">
        <f t="shared" si="3"/>
        <v>~~~~~~~~~~</v>
      </c>
      <c r="S23" t="str">
        <f t="shared" si="3"/>
        <v>~~~~~~~~~~</v>
      </c>
      <c r="T23" t="str">
        <f t="shared" si="3"/>
        <v>~~~~~~~~~~</v>
      </c>
      <c r="U23" t="str">
        <f t="shared" si="3"/>
        <v>~~~~~~~~~~</v>
      </c>
      <c r="V23" t="str">
        <f t="shared" si="3"/>
        <v>~~~~~~~~~~</v>
      </c>
      <c r="W23" t="str">
        <f t="shared" si="3"/>
        <v>~~~~~~~~~~</v>
      </c>
      <c r="X23" t="str">
        <f t="shared" si="3"/>
        <v>~~~~~~~~~~</v>
      </c>
      <c r="Y23" t="str">
        <f t="shared" si="3"/>
        <v>~~~~~~~~~~</v>
      </c>
      <c r="Z23" t="str">
        <f t="shared" si="3"/>
        <v>~~~~~~~~~~</v>
      </c>
      <c r="AA23" t="str">
        <f t="shared" si="3"/>
        <v>~~~~~~~~~~</v>
      </c>
      <c r="AB23" t="str">
        <f t="shared" si="3"/>
        <v>~~~~~~~~~~</v>
      </c>
      <c r="AC23" t="str">
        <f t="shared" si="3"/>
        <v>~~~~~~~~~~</v>
      </c>
      <c r="AD23" t="str">
        <f t="shared" si="3"/>
        <v>~~~~~~~~~~</v>
      </c>
      <c r="AE23" t="str">
        <f t="shared" si="3"/>
        <v>~~~~~~~~~~</v>
      </c>
      <c r="AF23" t="str">
        <f t="shared" si="3"/>
        <v>~~~~~~~~~~</v>
      </c>
      <c r="AG23" t="str">
        <f t="shared" ref="AG23:BM23" si="4">"~~~~~~~~~~"</f>
        <v>~~~~~~~~~~</v>
      </c>
      <c r="AH23" t="str">
        <f t="shared" si="4"/>
        <v>~~~~~~~~~~</v>
      </c>
      <c r="AI23" t="str">
        <f t="shared" si="4"/>
        <v>~~~~~~~~~~</v>
      </c>
      <c r="AJ23" t="str">
        <f t="shared" si="4"/>
        <v>~~~~~~~~~~</v>
      </c>
      <c r="AK23" t="str">
        <f t="shared" si="4"/>
        <v>~~~~~~~~~~</v>
      </c>
      <c r="AL23" t="str">
        <f t="shared" si="4"/>
        <v>~~~~~~~~~~</v>
      </c>
      <c r="AM23" t="str">
        <f t="shared" si="4"/>
        <v>~~~~~~~~~~</v>
      </c>
      <c r="AN23" t="str">
        <f t="shared" si="4"/>
        <v>~~~~~~~~~~</v>
      </c>
      <c r="AO23" t="str">
        <f t="shared" si="4"/>
        <v>~~~~~~~~~~</v>
      </c>
      <c r="AP23" t="str">
        <f t="shared" si="4"/>
        <v>~~~~~~~~~~</v>
      </c>
      <c r="AQ23" t="str">
        <f t="shared" si="4"/>
        <v>~~~~~~~~~~</v>
      </c>
      <c r="AR23" t="str">
        <f t="shared" si="4"/>
        <v>~~~~~~~~~~</v>
      </c>
      <c r="AS23" t="str">
        <f t="shared" si="4"/>
        <v>~~~~~~~~~~</v>
      </c>
      <c r="AT23" t="str">
        <f t="shared" si="4"/>
        <v>~~~~~~~~~~</v>
      </c>
      <c r="AU23" t="str">
        <f t="shared" si="4"/>
        <v>~~~~~~~~~~</v>
      </c>
      <c r="AV23" t="str">
        <f t="shared" si="4"/>
        <v>~~~~~~~~~~</v>
      </c>
      <c r="AW23" t="str">
        <f t="shared" si="4"/>
        <v>~~~~~~~~~~</v>
      </c>
      <c r="AX23" t="str">
        <f t="shared" si="4"/>
        <v>~~~~~~~~~~</v>
      </c>
      <c r="AY23" t="str">
        <f t="shared" si="4"/>
        <v>~~~~~~~~~~</v>
      </c>
      <c r="AZ23" t="str">
        <f t="shared" si="4"/>
        <v>~~~~~~~~~~</v>
      </c>
      <c r="BA23" t="str">
        <f t="shared" si="4"/>
        <v>~~~~~~~~~~</v>
      </c>
      <c r="BB23" t="str">
        <f t="shared" si="4"/>
        <v>~~~~~~~~~~</v>
      </c>
      <c r="BC23" t="str">
        <f t="shared" si="4"/>
        <v>~~~~~~~~~~</v>
      </c>
      <c r="BD23" t="str">
        <f t="shared" si="4"/>
        <v>~~~~~~~~~~</v>
      </c>
      <c r="BE23" t="str">
        <f t="shared" si="4"/>
        <v>~~~~~~~~~~</v>
      </c>
      <c r="BF23" t="str">
        <f t="shared" si="4"/>
        <v>~~~~~~~~~~</v>
      </c>
      <c r="BG23" t="str">
        <f t="shared" si="4"/>
        <v>~~~~~~~~~~</v>
      </c>
      <c r="BH23" t="str">
        <f t="shared" si="4"/>
        <v>~~~~~~~~~~</v>
      </c>
      <c r="BI23" t="str">
        <f t="shared" si="4"/>
        <v>~~~~~~~~~~</v>
      </c>
      <c r="BJ23" t="str">
        <f t="shared" si="4"/>
        <v>~~~~~~~~~~</v>
      </c>
      <c r="BK23" t="str">
        <f t="shared" si="4"/>
        <v>~~~~~~~~~~</v>
      </c>
      <c r="BL23" t="str">
        <f t="shared" si="4"/>
        <v>~~~~~~~~~~</v>
      </c>
      <c r="BM23" t="str">
        <f t="shared" si="4"/>
        <v>~~~~~~~~~~</v>
      </c>
      <c r="BN23" t="str">
        <f>""</f>
        <v/>
      </c>
      <c r="BO23" t="str">
        <f>""</f>
        <v/>
      </c>
      <c r="BP23" t="str">
        <f>""</f>
        <v/>
      </c>
      <c r="BQ23" t="str">
        <f>""</f>
        <v/>
      </c>
      <c r="BR23" t="str">
        <f>""</f>
        <v/>
      </c>
      <c r="BS23" t="str">
        <f>""</f>
        <v/>
      </c>
      <c r="BT23" t="str">
        <f>""</f>
        <v/>
      </c>
      <c r="BU23" t="str">
        <f>""</f>
        <v/>
      </c>
      <c r="BV23" t="str">
        <f>""</f>
        <v/>
      </c>
      <c r="BW23" t="str">
        <f>""</f>
        <v/>
      </c>
      <c r="BX23" t="str">
        <f>""</f>
        <v/>
      </c>
      <c r="BY23" t="str">
        <f>""</f>
        <v/>
      </c>
      <c r="BZ23" t="str">
        <f>""</f>
        <v/>
      </c>
      <c r="CA23" t="str">
        <f>""</f>
        <v/>
      </c>
      <c r="CB23" t="str">
        <f>""</f>
        <v/>
      </c>
      <c r="CC23" t="str">
        <f>""</f>
        <v/>
      </c>
      <c r="CD23" t="str">
        <f>""</f>
        <v/>
      </c>
      <c r="CE23" t="str">
        <f>""</f>
        <v/>
      </c>
      <c r="CF23" t="str">
        <f>""</f>
        <v/>
      </c>
      <c r="CG23" t="str">
        <f>""</f>
        <v/>
      </c>
      <c r="CH23" t="str">
        <f>""</f>
        <v/>
      </c>
      <c r="CI23" t="str">
        <f>""</f>
        <v/>
      </c>
      <c r="CJ23" t="str">
        <f>""</f>
        <v/>
      </c>
      <c r="CK23" t="str">
        <f>""</f>
        <v/>
      </c>
      <c r="CL23" t="str">
        <f>""</f>
        <v/>
      </c>
      <c r="CM23" t="str">
        <f>""</f>
        <v/>
      </c>
      <c r="CN23" t="str">
        <f>""</f>
        <v/>
      </c>
      <c r="CO23" t="str">
        <f>""</f>
        <v/>
      </c>
      <c r="CP23" t="str">
        <f>""</f>
        <v/>
      </c>
      <c r="CQ23" t="str">
        <f>""</f>
        <v/>
      </c>
      <c r="CR23" t="str">
        <f>""</f>
        <v/>
      </c>
      <c r="CS23" t="str">
        <f>""</f>
        <v/>
      </c>
      <c r="CT23" t="str">
        <f>""</f>
        <v/>
      </c>
      <c r="CU23" t="str">
        <f>""</f>
        <v/>
      </c>
      <c r="CV23" t="str">
        <f>""</f>
        <v/>
      </c>
      <c r="CW23" t="str">
        <f>""</f>
        <v/>
      </c>
      <c r="CX23" t="str">
        <f>""</f>
        <v/>
      </c>
      <c r="CY23" t="str">
        <f>""</f>
        <v/>
      </c>
      <c r="CZ23" t="str">
        <f>""</f>
        <v/>
      </c>
      <c r="DA23" t="str">
        <f>""</f>
        <v/>
      </c>
      <c r="DB23" t="str">
        <f>""</f>
        <v/>
      </c>
      <c r="DC23" t="str">
        <f>""</f>
        <v/>
      </c>
      <c r="DD23" t="str">
        <f>""</f>
        <v/>
      </c>
      <c r="DE23" t="str">
        <f>""</f>
        <v/>
      </c>
      <c r="DF23" t="str">
        <f>""</f>
        <v/>
      </c>
      <c r="DG23" t="str">
        <f>""</f>
        <v/>
      </c>
      <c r="DH23" t="str">
        <f>""</f>
        <v/>
      </c>
      <c r="DI23" t="str">
        <f>""</f>
        <v/>
      </c>
      <c r="DJ23" t="str">
        <f>""</f>
        <v/>
      </c>
      <c r="DK23" t="str">
        <f>""</f>
        <v/>
      </c>
      <c r="DL23" t="str">
        <f>""</f>
        <v/>
      </c>
      <c r="DM23" t="str">
        <f>""</f>
        <v/>
      </c>
      <c r="DN23" t="str">
        <f>""</f>
        <v/>
      </c>
      <c r="DO23" t="str">
        <f>""</f>
        <v/>
      </c>
      <c r="DP23" t="str">
        <f>""</f>
        <v/>
      </c>
      <c r="DQ23" t="str">
        <f>""</f>
        <v/>
      </c>
      <c r="DR23" t="str">
        <f>""</f>
        <v/>
      </c>
      <c r="DS23" t="str">
        <f>""</f>
        <v/>
      </c>
      <c r="DT23" t="str">
        <f>""</f>
        <v/>
      </c>
      <c r="DU23" t="str">
        <f>""</f>
        <v/>
      </c>
    </row>
    <row r="24" spans="1:125" x14ac:dyDescent="0.25">
      <c r="A24" t="str">
        <f>"All rows below have been added for reference by formula rows above."</f>
        <v>All rows below have been added for reference by formula rows above.</v>
      </c>
      <c r="BN24" t="str">
        <f>""</f>
        <v/>
      </c>
      <c r="BO24" t="str">
        <f>""</f>
        <v/>
      </c>
      <c r="BP24" t="str">
        <f>""</f>
        <v/>
      </c>
      <c r="BQ24" t="str">
        <f>""</f>
        <v/>
      </c>
      <c r="BR24" t="str">
        <f>""</f>
        <v/>
      </c>
      <c r="BS24" t="str">
        <f>""</f>
        <v/>
      </c>
      <c r="BT24" t="str">
        <f>""</f>
        <v/>
      </c>
      <c r="BU24" t="str">
        <f>""</f>
        <v/>
      </c>
      <c r="BV24" t="str">
        <f>""</f>
        <v/>
      </c>
      <c r="BW24" t="str">
        <f>""</f>
        <v/>
      </c>
      <c r="BX24" t="str">
        <f>""</f>
        <v/>
      </c>
      <c r="BY24" t="str">
        <f>""</f>
        <v/>
      </c>
      <c r="BZ24" t="str">
        <f>""</f>
        <v/>
      </c>
      <c r="CA24" t="str">
        <f>""</f>
        <v/>
      </c>
      <c r="CB24" t="str">
        <f>""</f>
        <v/>
      </c>
      <c r="CC24" t="str">
        <f>""</f>
        <v/>
      </c>
      <c r="CD24" t="str">
        <f>""</f>
        <v/>
      </c>
      <c r="CE24" t="str">
        <f>""</f>
        <v/>
      </c>
      <c r="CF24" t="str">
        <f>""</f>
        <v/>
      </c>
      <c r="CG24" t="str">
        <f>""</f>
        <v/>
      </c>
      <c r="CH24" t="str">
        <f>""</f>
        <v/>
      </c>
      <c r="CI24" t="str">
        <f>""</f>
        <v/>
      </c>
      <c r="CJ24" t="str">
        <f>""</f>
        <v/>
      </c>
      <c r="CK24" t="str">
        <f>""</f>
        <v/>
      </c>
      <c r="CL24" t="str">
        <f>""</f>
        <v/>
      </c>
      <c r="CM24" t="str">
        <f>""</f>
        <v/>
      </c>
      <c r="CN24" t="str">
        <f>""</f>
        <v/>
      </c>
      <c r="CO24" t="str">
        <f>""</f>
        <v/>
      </c>
      <c r="CP24" t="str">
        <f>""</f>
        <v/>
      </c>
      <c r="CQ24" t="str">
        <f>""</f>
        <v/>
      </c>
      <c r="CR24" t="str">
        <f>""</f>
        <v/>
      </c>
      <c r="CS24" t="str">
        <f>""</f>
        <v/>
      </c>
      <c r="CT24" t="str">
        <f>""</f>
        <v/>
      </c>
      <c r="CU24" t="str">
        <f>""</f>
        <v/>
      </c>
      <c r="CV24" t="str">
        <f>""</f>
        <v/>
      </c>
      <c r="CW24" t="str">
        <f>""</f>
        <v/>
      </c>
      <c r="CX24" t="str">
        <f>""</f>
        <v/>
      </c>
      <c r="CY24" t="str">
        <f>""</f>
        <v/>
      </c>
      <c r="CZ24" t="str">
        <f>""</f>
        <v/>
      </c>
      <c r="DA24" t="str">
        <f>""</f>
        <v/>
      </c>
      <c r="DB24" t="str">
        <f>""</f>
        <v/>
      </c>
      <c r="DC24" t="str">
        <f>""</f>
        <v/>
      </c>
      <c r="DD24" t="str">
        <f>""</f>
        <v/>
      </c>
      <c r="DE24" t="str">
        <f>""</f>
        <v/>
      </c>
      <c r="DF24" t="str">
        <f>""</f>
        <v/>
      </c>
      <c r="DG24" t="str">
        <f>""</f>
        <v/>
      </c>
      <c r="DH24" t="str">
        <f>""</f>
        <v/>
      </c>
      <c r="DI24" t="str">
        <f>""</f>
        <v/>
      </c>
      <c r="DJ24" t="str">
        <f>""</f>
        <v/>
      </c>
      <c r="DK24" t="str">
        <f>""</f>
        <v/>
      </c>
      <c r="DL24" t="str">
        <f>""</f>
        <v/>
      </c>
      <c r="DM24" t="str">
        <f>""</f>
        <v/>
      </c>
      <c r="DN24" t="str">
        <f>""</f>
        <v/>
      </c>
      <c r="DO24" t="str">
        <f>""</f>
        <v/>
      </c>
      <c r="DP24" t="str">
        <f>""</f>
        <v/>
      </c>
      <c r="DQ24" t="str">
        <f>""</f>
        <v/>
      </c>
      <c r="DR24" t="str">
        <f>""</f>
        <v/>
      </c>
      <c r="DS24" t="str">
        <f>""</f>
        <v/>
      </c>
      <c r="DT24" t="str">
        <f>""</f>
        <v/>
      </c>
      <c r="DU24" t="str">
        <f>""</f>
        <v/>
      </c>
    </row>
    <row r="25" spans="1:125" x14ac:dyDescent="0.25">
      <c r="A25">
        <f>RTD("bloomberg.ccyreader", "", "#track", "DBG", "BIHITX", "1.0","RepeatHit")</f>
        <v>0</v>
      </c>
      <c r="BN25" t="str">
        <f>""</f>
        <v/>
      </c>
      <c r="BO25" t="str">
        <f>""</f>
        <v/>
      </c>
      <c r="BP25" t="str">
        <f>""</f>
        <v/>
      </c>
      <c r="BQ25" t="str">
        <f>""</f>
        <v/>
      </c>
      <c r="BR25" t="str">
        <f>""</f>
        <v/>
      </c>
      <c r="BS25" t="str">
        <f>""</f>
        <v/>
      </c>
      <c r="BT25" t="str">
        <f>""</f>
        <v/>
      </c>
      <c r="BU25" t="str">
        <f>""</f>
        <v/>
      </c>
      <c r="BV25" t="str">
        <f>""</f>
        <v/>
      </c>
      <c r="BW25" t="str">
        <f>""</f>
        <v/>
      </c>
      <c r="BX25" t="str">
        <f>""</f>
        <v/>
      </c>
      <c r="BY25" t="str">
        <f>""</f>
        <v/>
      </c>
      <c r="BZ25" t="str">
        <f>""</f>
        <v/>
      </c>
      <c r="CA25" t="str">
        <f>""</f>
        <v/>
      </c>
      <c r="CB25" t="str">
        <f>""</f>
        <v/>
      </c>
      <c r="CC25" t="str">
        <f>""</f>
        <v/>
      </c>
      <c r="CD25" t="str">
        <f>""</f>
        <v/>
      </c>
      <c r="CE25" t="str">
        <f>""</f>
        <v/>
      </c>
      <c r="CF25" t="str">
        <f>""</f>
        <v/>
      </c>
      <c r="CG25" t="str">
        <f>""</f>
        <v/>
      </c>
      <c r="CH25" t="str">
        <f>""</f>
        <v/>
      </c>
      <c r="CI25" t="str">
        <f>""</f>
        <v/>
      </c>
      <c r="CJ25" t="str">
        <f>""</f>
        <v/>
      </c>
      <c r="CK25" t="str">
        <f>""</f>
        <v/>
      </c>
      <c r="CL25" t="str">
        <f>""</f>
        <v/>
      </c>
      <c r="CM25" t="str">
        <f>""</f>
        <v/>
      </c>
      <c r="CN25" t="str">
        <f>""</f>
        <v/>
      </c>
      <c r="CO25" t="str">
        <f>""</f>
        <v/>
      </c>
      <c r="CP25" t="str">
        <f>""</f>
        <v/>
      </c>
      <c r="CQ25" t="str">
        <f>""</f>
        <v/>
      </c>
      <c r="CR25" t="str">
        <f>""</f>
        <v/>
      </c>
      <c r="CS25" t="str">
        <f>""</f>
        <v/>
      </c>
      <c r="CT25" t="str">
        <f>""</f>
        <v/>
      </c>
      <c r="CU25" t="str">
        <f>""</f>
        <v/>
      </c>
      <c r="CV25" t="str">
        <f>""</f>
        <v/>
      </c>
      <c r="CW25" t="str">
        <f>""</f>
        <v/>
      </c>
      <c r="CX25" t="str">
        <f>""</f>
        <v/>
      </c>
      <c r="CY25" t="str">
        <f>""</f>
        <v/>
      </c>
      <c r="CZ25" t="str">
        <f>""</f>
        <v/>
      </c>
      <c r="DA25" t="str">
        <f>""</f>
        <v/>
      </c>
      <c r="DB25" t="str">
        <f>""</f>
        <v/>
      </c>
      <c r="DC25" t="str">
        <f>""</f>
        <v/>
      </c>
      <c r="DD25" t="str">
        <f>""</f>
        <v/>
      </c>
      <c r="DE25" t="str">
        <f>""</f>
        <v/>
      </c>
      <c r="DF25" t="str">
        <f>""</f>
        <v/>
      </c>
      <c r="DG25" t="str">
        <f>""</f>
        <v/>
      </c>
      <c r="DH25" t="str">
        <f>""</f>
        <v/>
      </c>
      <c r="DI25" t="str">
        <f>""</f>
        <v/>
      </c>
      <c r="DJ25" t="str">
        <f>""</f>
        <v/>
      </c>
      <c r="DK25" t="str">
        <f>""</f>
        <v/>
      </c>
      <c r="DL25" t="str">
        <f>""</f>
        <v/>
      </c>
      <c r="DM25" t="str">
        <f>""</f>
        <v/>
      </c>
      <c r="DN25" t="str">
        <f>""</f>
        <v/>
      </c>
      <c r="DO25" t="str">
        <f>""</f>
        <v/>
      </c>
      <c r="DP25" t="str">
        <f>""</f>
        <v/>
      </c>
      <c r="DQ25" t="str">
        <f>""</f>
        <v/>
      </c>
      <c r="DR25" t="str">
        <f>""</f>
        <v/>
      </c>
      <c r="DS25" t="str">
        <f>""</f>
        <v/>
      </c>
      <c r="DT25" t="str">
        <f>""</f>
        <v/>
      </c>
      <c r="DU25" t="str">
        <f>""</f>
        <v/>
      </c>
    </row>
    <row r="26" spans="1:125" x14ac:dyDescent="0.25">
      <c r="A26" t="str">
        <f>"Currency"</f>
        <v>Currency</v>
      </c>
      <c r="B26" t="str">
        <f>""</f>
        <v/>
      </c>
      <c r="BN26" t="str">
        <f>""</f>
        <v/>
      </c>
      <c r="BO26" t="str">
        <f>""</f>
        <v/>
      </c>
      <c r="BP26" t="str">
        <f>""</f>
        <v/>
      </c>
      <c r="BQ26" t="str">
        <f>""</f>
        <v/>
      </c>
      <c r="BR26" t="str">
        <f>""</f>
        <v/>
      </c>
      <c r="BS26" t="str">
        <f>""</f>
        <v/>
      </c>
      <c r="BT26" t="str">
        <f>""</f>
        <v/>
      </c>
      <c r="BU26" t="str">
        <f>""</f>
        <v/>
      </c>
      <c r="BV26" t="str">
        <f>""</f>
        <v/>
      </c>
      <c r="BW26" t="str">
        <f>""</f>
        <v/>
      </c>
      <c r="BX26" t="str">
        <f>""</f>
        <v/>
      </c>
      <c r="BY26" t="str">
        <f>""</f>
        <v/>
      </c>
      <c r="BZ26" t="str">
        <f>""</f>
        <v/>
      </c>
      <c r="CA26" t="str">
        <f>""</f>
        <v/>
      </c>
      <c r="CB26" t="str">
        <f>""</f>
        <v/>
      </c>
      <c r="CC26" t="str">
        <f>""</f>
        <v/>
      </c>
      <c r="CD26" t="str">
        <f>""</f>
        <v/>
      </c>
      <c r="CE26" t="str">
        <f>""</f>
        <v/>
      </c>
      <c r="CF26" t="str">
        <f>""</f>
        <v/>
      </c>
      <c r="CG26" t="str">
        <f>""</f>
        <v/>
      </c>
      <c r="CH26" t="str">
        <f>""</f>
        <v/>
      </c>
      <c r="CI26" t="str">
        <f>""</f>
        <v/>
      </c>
      <c r="CJ26" t="str">
        <f>""</f>
        <v/>
      </c>
      <c r="CK26" t="str">
        <f>""</f>
        <v/>
      </c>
      <c r="CL26" t="str">
        <f>""</f>
        <v/>
      </c>
      <c r="CM26" t="str">
        <f>""</f>
        <v/>
      </c>
      <c r="CN26" t="str">
        <f>""</f>
        <v/>
      </c>
      <c r="CO26" t="str">
        <f>""</f>
        <v/>
      </c>
      <c r="CP26" t="str">
        <f>""</f>
        <v/>
      </c>
      <c r="CQ26" t="str">
        <f>""</f>
        <v/>
      </c>
      <c r="CR26" t="str">
        <f>""</f>
        <v/>
      </c>
      <c r="CS26" t="str">
        <f>""</f>
        <v/>
      </c>
      <c r="CT26" t="str">
        <f>""</f>
        <v/>
      </c>
      <c r="CU26" t="str">
        <f>""</f>
        <v/>
      </c>
      <c r="CV26" t="str">
        <f>""</f>
        <v/>
      </c>
      <c r="CW26" t="str">
        <f>""</f>
        <v/>
      </c>
      <c r="CX26" t="str">
        <f>""</f>
        <v/>
      </c>
      <c r="CY26" t="str">
        <f>""</f>
        <v/>
      </c>
      <c r="CZ26" t="str">
        <f>""</f>
        <v/>
      </c>
      <c r="DA26" t="str">
        <f>""</f>
        <v/>
      </c>
      <c r="DB26" t="str">
        <f>""</f>
        <v/>
      </c>
      <c r="DC26" t="str">
        <f>""</f>
        <v/>
      </c>
      <c r="DD26" t="str">
        <f>""</f>
        <v/>
      </c>
      <c r="DE26" t="str">
        <f>""</f>
        <v/>
      </c>
      <c r="DF26" t="str">
        <f>""</f>
        <v/>
      </c>
      <c r="DG26" t="str">
        <f>""</f>
        <v/>
      </c>
      <c r="DH26" t="str">
        <f>""</f>
        <v/>
      </c>
      <c r="DI26" t="str">
        <f>""</f>
        <v/>
      </c>
      <c r="DJ26" t="str">
        <f>""</f>
        <v/>
      </c>
      <c r="DK26" t="str">
        <f>""</f>
        <v/>
      </c>
      <c r="DL26" t="str">
        <f>""</f>
        <v/>
      </c>
      <c r="DM26" t="str">
        <f>""</f>
        <v/>
      </c>
      <c r="DN26" t="str">
        <f>""</f>
        <v/>
      </c>
      <c r="DO26" t="str">
        <f>""</f>
        <v/>
      </c>
      <c r="DP26" t="str">
        <f>""</f>
        <v/>
      </c>
      <c r="DQ26" t="str">
        <f>""</f>
        <v/>
      </c>
      <c r="DR26" t="str">
        <f>""</f>
        <v/>
      </c>
      <c r="DS26" t="str">
        <f>""</f>
        <v/>
      </c>
      <c r="DT26" t="str">
        <f>""</f>
        <v/>
      </c>
      <c r="DU26" t="str">
        <f>""</f>
        <v/>
      </c>
    </row>
    <row r="27" spans="1:125" x14ac:dyDescent="0.25">
      <c r="A27" t="str">
        <f>"Periodicity"</f>
        <v>Periodicity</v>
      </c>
      <c r="B27" t="str">
        <f>"CQ"</f>
        <v>CQ</v>
      </c>
      <c r="C27" t="str">
        <f>"AQ"</f>
        <v>AQ</v>
      </c>
      <c r="BN27" t="str">
        <f>""</f>
        <v/>
      </c>
      <c r="BO27" t="str">
        <f>""</f>
        <v/>
      </c>
      <c r="BP27" t="str">
        <f>""</f>
        <v/>
      </c>
      <c r="BQ27" t="str">
        <f>""</f>
        <v/>
      </c>
      <c r="BR27" t="str">
        <f>""</f>
        <v/>
      </c>
      <c r="BS27" t="str">
        <f>""</f>
        <v/>
      </c>
      <c r="BT27" t="str">
        <f>""</f>
        <v/>
      </c>
      <c r="BU27" t="str">
        <f>""</f>
        <v/>
      </c>
      <c r="BV27" t="str">
        <f>""</f>
        <v/>
      </c>
      <c r="BW27" t="str">
        <f>""</f>
        <v/>
      </c>
      <c r="BX27" t="str">
        <f>""</f>
        <v/>
      </c>
      <c r="BY27" t="str">
        <f>""</f>
        <v/>
      </c>
      <c r="BZ27" t="str">
        <f>""</f>
        <v/>
      </c>
      <c r="CA27" t="str">
        <f>""</f>
        <v/>
      </c>
      <c r="CB27" t="str">
        <f>""</f>
        <v/>
      </c>
      <c r="CC27" t="str">
        <f>""</f>
        <v/>
      </c>
      <c r="CD27" t="str">
        <f>""</f>
        <v/>
      </c>
      <c r="CE27" t="str">
        <f>""</f>
        <v/>
      </c>
      <c r="CF27" t="str">
        <f>""</f>
        <v/>
      </c>
      <c r="CG27" t="str">
        <f>""</f>
        <v/>
      </c>
      <c r="CH27" t="str">
        <f>""</f>
        <v/>
      </c>
      <c r="CI27" t="str">
        <f>""</f>
        <v/>
      </c>
      <c r="CJ27" t="str">
        <f>""</f>
        <v/>
      </c>
      <c r="CK27" t="str">
        <f>""</f>
        <v/>
      </c>
      <c r="CL27" t="str">
        <f>""</f>
        <v/>
      </c>
      <c r="CM27" t="str">
        <f>""</f>
        <v/>
      </c>
      <c r="CN27" t="str">
        <f>""</f>
        <v/>
      </c>
      <c r="CO27" t="str">
        <f>""</f>
        <v/>
      </c>
      <c r="CP27" t="str">
        <f>""</f>
        <v/>
      </c>
      <c r="CQ27" t="str">
        <f>""</f>
        <v/>
      </c>
      <c r="CR27" t="str">
        <f>""</f>
        <v/>
      </c>
      <c r="CS27" t="str">
        <f>""</f>
        <v/>
      </c>
      <c r="CT27" t="str">
        <f>""</f>
        <v/>
      </c>
      <c r="CU27" t="str">
        <f>""</f>
        <v/>
      </c>
      <c r="CV27" t="str">
        <f>""</f>
        <v/>
      </c>
      <c r="CW27" t="str">
        <f>""</f>
        <v/>
      </c>
      <c r="CX27" t="str">
        <f>""</f>
        <v/>
      </c>
      <c r="CY27" t="str">
        <f>""</f>
        <v/>
      </c>
      <c r="CZ27" t="str">
        <f>""</f>
        <v/>
      </c>
      <c r="DA27" t="str">
        <f>""</f>
        <v/>
      </c>
      <c r="DB27" t="str">
        <f>""</f>
        <v/>
      </c>
      <c r="DC27" t="str">
        <f>""</f>
        <v/>
      </c>
      <c r="DD27" t="str">
        <f>""</f>
        <v/>
      </c>
      <c r="DE27" t="str">
        <f>""</f>
        <v/>
      </c>
      <c r="DF27" t="str">
        <f>""</f>
        <v/>
      </c>
      <c r="DG27" t="str">
        <f>""</f>
        <v/>
      </c>
      <c r="DH27" t="str">
        <f>""</f>
        <v/>
      </c>
      <c r="DI27" t="str">
        <f>""</f>
        <v/>
      </c>
      <c r="DJ27" t="str">
        <f>""</f>
        <v/>
      </c>
      <c r="DK27" t="str">
        <f>""</f>
        <v/>
      </c>
      <c r="DL27" t="str">
        <f>""</f>
        <v/>
      </c>
      <c r="DM27" t="str">
        <f>""</f>
        <v/>
      </c>
      <c r="DN27" t="str">
        <f>""</f>
        <v/>
      </c>
      <c r="DO27" t="str">
        <f>""</f>
        <v/>
      </c>
      <c r="DP27" t="str">
        <f>""</f>
        <v/>
      </c>
      <c r="DQ27" t="str">
        <f>""</f>
        <v/>
      </c>
      <c r="DR27" t="str">
        <f>""</f>
        <v/>
      </c>
      <c r="DS27" t="str">
        <f>""</f>
        <v/>
      </c>
      <c r="DT27" t="str">
        <f>""</f>
        <v/>
      </c>
      <c r="DU27" t="str">
        <f>""</f>
        <v/>
      </c>
    </row>
    <row r="28" spans="1:125" x14ac:dyDescent="0.25">
      <c r="A28" t="str">
        <f>"Number of Periods"</f>
        <v>Number of Periods</v>
      </c>
      <c r="B28">
        <f>60</f>
        <v>60</v>
      </c>
      <c r="BN28" t="str">
        <f>""</f>
        <v/>
      </c>
      <c r="BO28" t="str">
        <f>""</f>
        <v/>
      </c>
      <c r="BP28" t="str">
        <f>""</f>
        <v/>
      </c>
      <c r="BQ28" t="str">
        <f>""</f>
        <v/>
      </c>
      <c r="BR28" t="str">
        <f>""</f>
        <v/>
      </c>
      <c r="BS28" t="str">
        <f>""</f>
        <v/>
      </c>
      <c r="BT28" t="str">
        <f>""</f>
        <v/>
      </c>
      <c r="BU28" t="str">
        <f>""</f>
        <v/>
      </c>
      <c r="BV28" t="str">
        <f>""</f>
        <v/>
      </c>
      <c r="BW28" t="str">
        <f>""</f>
        <v/>
      </c>
      <c r="BX28" t="str">
        <f>""</f>
        <v/>
      </c>
      <c r="BY28" t="str">
        <f>""</f>
        <v/>
      </c>
      <c r="BZ28" t="str">
        <f>""</f>
        <v/>
      </c>
      <c r="CA28" t="str">
        <f>""</f>
        <v/>
      </c>
      <c r="CB28" t="str">
        <f>""</f>
        <v/>
      </c>
      <c r="CC28" t="str">
        <f>""</f>
        <v/>
      </c>
      <c r="CD28" t="str">
        <f>""</f>
        <v/>
      </c>
      <c r="CE28" t="str">
        <f>""</f>
        <v/>
      </c>
      <c r="CF28" t="str">
        <f>""</f>
        <v/>
      </c>
      <c r="CG28" t="str">
        <f>""</f>
        <v/>
      </c>
      <c r="CH28" t="str">
        <f>""</f>
        <v/>
      </c>
      <c r="CI28" t="str">
        <f>""</f>
        <v/>
      </c>
      <c r="CJ28" t="str">
        <f>""</f>
        <v/>
      </c>
      <c r="CK28" t="str">
        <f>""</f>
        <v/>
      </c>
      <c r="CL28" t="str">
        <f>""</f>
        <v/>
      </c>
      <c r="CM28" t="str">
        <f>""</f>
        <v/>
      </c>
      <c r="CN28" t="str">
        <f>""</f>
        <v/>
      </c>
      <c r="CO28" t="str">
        <f>""</f>
        <v/>
      </c>
      <c r="CP28" t="str">
        <f>""</f>
        <v/>
      </c>
      <c r="CQ28" t="str">
        <f>""</f>
        <v/>
      </c>
      <c r="CR28" t="str">
        <f>""</f>
        <v/>
      </c>
      <c r="CS28" t="str">
        <f>""</f>
        <v/>
      </c>
      <c r="CT28" t="str">
        <f>""</f>
        <v/>
      </c>
      <c r="CU28" t="str">
        <f>""</f>
        <v/>
      </c>
      <c r="CV28" t="str">
        <f>""</f>
        <v/>
      </c>
      <c r="CW28" t="str">
        <f>""</f>
        <v/>
      </c>
      <c r="CX28" t="str">
        <f>""</f>
        <v/>
      </c>
      <c r="CY28" t="str">
        <f>""</f>
        <v/>
      </c>
      <c r="CZ28" t="str">
        <f>""</f>
        <v/>
      </c>
      <c r="DA28" t="str">
        <f>""</f>
        <v/>
      </c>
      <c r="DB28" t="str">
        <f>""</f>
        <v/>
      </c>
      <c r="DC28" t="str">
        <f>""</f>
        <v/>
      </c>
      <c r="DD28" t="str">
        <f>""</f>
        <v/>
      </c>
      <c r="DE28" t="str">
        <f>""</f>
        <v/>
      </c>
      <c r="DF28" t="str">
        <f>""</f>
        <v/>
      </c>
      <c r="DG28" t="str">
        <f>""</f>
        <v/>
      </c>
      <c r="DH28" t="str">
        <f>""</f>
        <v/>
      </c>
      <c r="DI28" t="str">
        <f>""</f>
        <v/>
      </c>
      <c r="DJ28" t="str">
        <f>""</f>
        <v/>
      </c>
      <c r="DK28" t="str">
        <f>""</f>
        <v/>
      </c>
      <c r="DL28" t="str">
        <f>""</f>
        <v/>
      </c>
      <c r="DM28" t="str">
        <f>""</f>
        <v/>
      </c>
      <c r="DN28" t="str">
        <f>""</f>
        <v/>
      </c>
      <c r="DO28" t="str">
        <f>""</f>
        <v/>
      </c>
      <c r="DP28" t="str">
        <f>""</f>
        <v/>
      </c>
      <c r="DQ28" t="str">
        <f>""</f>
        <v/>
      </c>
      <c r="DR28" t="str">
        <f>""</f>
        <v/>
      </c>
      <c r="DS28" t="str">
        <f>""</f>
        <v/>
      </c>
      <c r="DT28" t="str">
        <f>""</f>
        <v/>
      </c>
      <c r="DU28" t="str">
        <f>""</f>
        <v/>
      </c>
    </row>
    <row r="29" spans="1:125" x14ac:dyDescent="0.25">
      <c r="A29" t="str">
        <f>"Start Date"</f>
        <v>Start Date</v>
      </c>
      <c r="B29" t="str">
        <f>CONCATENATE("-",$B$28,$B$27)</f>
        <v>-60CQ</v>
      </c>
      <c r="C29" t="str">
        <f>CONCATENATE("-",$B$28,$C$27)</f>
        <v>-60AQ</v>
      </c>
      <c r="BN29" t="str">
        <f>""</f>
        <v/>
      </c>
      <c r="BO29" t="str">
        <f>""</f>
        <v/>
      </c>
      <c r="BP29" t="str">
        <f>""</f>
        <v/>
      </c>
      <c r="BQ29" t="str">
        <f>""</f>
        <v/>
      </c>
      <c r="BR29" t="str">
        <f>""</f>
        <v/>
      </c>
      <c r="BS29" t="str">
        <f>""</f>
        <v/>
      </c>
      <c r="BT29" t="str">
        <f>""</f>
        <v/>
      </c>
      <c r="BU29" t="str">
        <f>""</f>
        <v/>
      </c>
      <c r="BV29" t="str">
        <f>""</f>
        <v/>
      </c>
      <c r="BW29" t="str">
        <f>""</f>
        <v/>
      </c>
      <c r="BX29" t="str">
        <f>""</f>
        <v/>
      </c>
      <c r="BY29" t="str">
        <f>""</f>
        <v/>
      </c>
      <c r="BZ29" t="str">
        <f>""</f>
        <v/>
      </c>
      <c r="CA29" t="str">
        <f>""</f>
        <v/>
      </c>
      <c r="CB29" t="str">
        <f>""</f>
        <v/>
      </c>
      <c r="CC29" t="str">
        <f>""</f>
        <v/>
      </c>
      <c r="CD29" t="str">
        <f>""</f>
        <v/>
      </c>
      <c r="CE29" t="str">
        <f>""</f>
        <v/>
      </c>
      <c r="CF29" t="str">
        <f>""</f>
        <v/>
      </c>
      <c r="CG29" t="str">
        <f>""</f>
        <v/>
      </c>
      <c r="CH29" t="str">
        <f>""</f>
        <v/>
      </c>
      <c r="CI29" t="str">
        <f>""</f>
        <v/>
      </c>
      <c r="CJ29" t="str">
        <f>""</f>
        <v/>
      </c>
      <c r="CK29" t="str">
        <f>""</f>
        <v/>
      </c>
      <c r="CL29" t="str">
        <f>""</f>
        <v/>
      </c>
      <c r="CM29" t="str">
        <f>""</f>
        <v/>
      </c>
      <c r="CN29" t="str">
        <f>""</f>
        <v/>
      </c>
      <c r="CO29" t="str">
        <f>""</f>
        <v/>
      </c>
      <c r="CP29" t="str">
        <f>""</f>
        <v/>
      </c>
      <c r="CQ29" t="str">
        <f>""</f>
        <v/>
      </c>
      <c r="CR29" t="str">
        <f>""</f>
        <v/>
      </c>
      <c r="CS29" t="str">
        <f>""</f>
        <v/>
      </c>
      <c r="CT29" t="str">
        <f>""</f>
        <v/>
      </c>
      <c r="CU29" t="str">
        <f>""</f>
        <v/>
      </c>
      <c r="CV29" t="str">
        <f>""</f>
        <v/>
      </c>
      <c r="CW29" t="str">
        <f>""</f>
        <v/>
      </c>
      <c r="CX29" t="str">
        <f>""</f>
        <v/>
      </c>
      <c r="CY29" t="str">
        <f>""</f>
        <v/>
      </c>
      <c r="CZ29" t="str">
        <f>""</f>
        <v/>
      </c>
      <c r="DA29" t="str">
        <f>""</f>
        <v/>
      </c>
      <c r="DB29" t="str">
        <f>""</f>
        <v/>
      </c>
      <c r="DC29" t="str">
        <f>""</f>
        <v/>
      </c>
      <c r="DD29" t="str">
        <f>""</f>
        <v/>
      </c>
      <c r="DE29" t="str">
        <f>""</f>
        <v/>
      </c>
      <c r="DF29" t="str">
        <f>""</f>
        <v/>
      </c>
      <c r="DG29" t="str">
        <f>""</f>
        <v/>
      </c>
      <c r="DH29" t="str">
        <f>""</f>
        <v/>
      </c>
      <c r="DI29" t="str">
        <f>""</f>
        <v/>
      </c>
      <c r="DJ29" t="str">
        <f>""</f>
        <v/>
      </c>
      <c r="DK29" t="str">
        <f>""</f>
        <v/>
      </c>
      <c r="DL29" t="str">
        <f>""</f>
        <v/>
      </c>
      <c r="DM29" t="str">
        <f>""</f>
        <v/>
      </c>
      <c r="DN29" t="str">
        <f>""</f>
        <v/>
      </c>
      <c r="DO29" t="str">
        <f>""</f>
        <v/>
      </c>
      <c r="DP29" t="str">
        <f>""</f>
        <v/>
      </c>
      <c r="DQ29" t="str">
        <f>""</f>
        <v/>
      </c>
      <c r="DR29" t="str">
        <f>""</f>
        <v/>
      </c>
      <c r="DS29" t="str">
        <f>""</f>
        <v/>
      </c>
      <c r="DT29" t="str">
        <f>""</f>
        <v/>
      </c>
      <c r="DU29" t="str">
        <f>""</f>
        <v/>
      </c>
    </row>
    <row r="30" spans="1:125" x14ac:dyDescent="0.25">
      <c r="A30" t="str">
        <f>"End Date"</f>
        <v>End Date</v>
      </c>
      <c r="B30">
        <f ca="1">TODAY()</f>
        <v>45945</v>
      </c>
      <c r="BN30" t="str">
        <f>""</f>
        <v/>
      </c>
      <c r="BO30" t="str">
        <f>""</f>
        <v/>
      </c>
      <c r="BP30" t="str">
        <f>""</f>
        <v/>
      </c>
      <c r="BQ30" t="str">
        <f>""</f>
        <v/>
      </c>
      <c r="BR30" t="str">
        <f>""</f>
        <v/>
      </c>
      <c r="BS30" t="str">
        <f>""</f>
        <v/>
      </c>
      <c r="BT30" t="str">
        <f>""</f>
        <v/>
      </c>
      <c r="BU30" t="str">
        <f>""</f>
        <v/>
      </c>
      <c r="BV30" t="str">
        <f>""</f>
        <v/>
      </c>
      <c r="BW30" t="str">
        <f>""</f>
        <v/>
      </c>
      <c r="BX30" t="str">
        <f>""</f>
        <v/>
      </c>
      <c r="BY30" t="str">
        <f>""</f>
        <v/>
      </c>
      <c r="BZ30" t="str">
        <f>""</f>
        <v/>
      </c>
      <c r="CA30" t="str">
        <f>""</f>
        <v/>
      </c>
      <c r="CB30" t="str">
        <f>""</f>
        <v/>
      </c>
      <c r="CC30" t="str">
        <f>""</f>
        <v/>
      </c>
      <c r="CD30" t="str">
        <f>""</f>
        <v/>
      </c>
      <c r="CE30" t="str">
        <f>""</f>
        <v/>
      </c>
      <c r="CF30" t="str">
        <f>""</f>
        <v/>
      </c>
      <c r="CG30" t="str">
        <f>""</f>
        <v/>
      </c>
      <c r="CH30" t="str">
        <f>""</f>
        <v/>
      </c>
      <c r="CI30" t="str">
        <f>""</f>
        <v/>
      </c>
      <c r="CJ30" t="str">
        <f>""</f>
        <v/>
      </c>
      <c r="CK30" t="str">
        <f>""</f>
        <v/>
      </c>
      <c r="CL30" t="str">
        <f>""</f>
        <v/>
      </c>
      <c r="CM30" t="str">
        <f>""</f>
        <v/>
      </c>
      <c r="CN30" t="str">
        <f>""</f>
        <v/>
      </c>
      <c r="CO30" t="str">
        <f>""</f>
        <v/>
      </c>
      <c r="CP30" t="str">
        <f>""</f>
        <v/>
      </c>
      <c r="CQ30" t="str">
        <f>""</f>
        <v/>
      </c>
      <c r="CR30" t="str">
        <f>""</f>
        <v/>
      </c>
      <c r="CS30" t="str">
        <f>""</f>
        <v/>
      </c>
      <c r="CT30" t="str">
        <f>""</f>
        <v/>
      </c>
      <c r="CU30" t="str">
        <f>""</f>
        <v/>
      </c>
      <c r="CV30" t="str">
        <f>""</f>
        <v/>
      </c>
      <c r="CW30" t="str">
        <f>""</f>
        <v/>
      </c>
      <c r="CX30" t="str">
        <f>""</f>
        <v/>
      </c>
      <c r="CY30" t="str">
        <f>""</f>
        <v/>
      </c>
      <c r="CZ30" t="str">
        <f>""</f>
        <v/>
      </c>
      <c r="DA30" t="str">
        <f>""</f>
        <v/>
      </c>
      <c r="DB30" t="str">
        <f>""</f>
        <v/>
      </c>
      <c r="DC30" t="str">
        <f>""</f>
        <v/>
      </c>
      <c r="DD30" t="str">
        <f>""</f>
        <v/>
      </c>
      <c r="DE30" t="str">
        <f>""</f>
        <v/>
      </c>
      <c r="DF30" t="str">
        <f>""</f>
        <v/>
      </c>
      <c r="DG30" t="str">
        <f>""</f>
        <v/>
      </c>
      <c r="DH30" t="str">
        <f>""</f>
        <v/>
      </c>
      <c r="DI30" t="str">
        <f>""</f>
        <v/>
      </c>
      <c r="DJ30" t="str">
        <f>""</f>
        <v/>
      </c>
      <c r="DK30" t="str">
        <f>""</f>
        <v/>
      </c>
      <c r="DL30" t="str">
        <f>""</f>
        <v/>
      </c>
      <c r="DM30" t="str">
        <f>""</f>
        <v/>
      </c>
      <c r="DN30" t="str">
        <f>""</f>
        <v/>
      </c>
      <c r="DO30" t="str">
        <f>""</f>
        <v/>
      </c>
      <c r="DP30" t="str">
        <f>""</f>
        <v/>
      </c>
      <c r="DQ30" t="str">
        <f>""</f>
        <v/>
      </c>
      <c r="DR30" t="str">
        <f>""</f>
        <v/>
      </c>
      <c r="DS30" t="str">
        <f>""</f>
        <v/>
      </c>
      <c r="DT30" t="str">
        <f>""</f>
        <v/>
      </c>
      <c r="DU30" t="str">
        <f>""</f>
        <v/>
      </c>
    </row>
    <row r="31" spans="1:125" x14ac:dyDescent="0.25">
      <c r="A31" t="str">
        <f>"HeaderStatus"</f>
        <v>HeaderStatus</v>
      </c>
      <c r="B31">
        <f ca="1">$B$65*$B$73</f>
        <v>4</v>
      </c>
      <c r="BN31" t="str">
        <f>""</f>
        <v/>
      </c>
      <c r="BO31" t="str">
        <f>""</f>
        <v/>
      </c>
      <c r="BP31" t="str">
        <f>""</f>
        <v/>
      </c>
      <c r="BQ31" t="str">
        <f>""</f>
        <v/>
      </c>
      <c r="BR31" t="str">
        <f>""</f>
        <v/>
      </c>
      <c r="BS31" t="str">
        <f>""</f>
        <v/>
      </c>
      <c r="BT31" t="str">
        <f>""</f>
        <v/>
      </c>
      <c r="BU31" t="str">
        <f>""</f>
        <v/>
      </c>
      <c r="BV31" t="str">
        <f>""</f>
        <v/>
      </c>
      <c r="BW31" t="str">
        <f>""</f>
        <v/>
      </c>
      <c r="BX31" t="str">
        <f>""</f>
        <v/>
      </c>
      <c r="BY31" t="str">
        <f>""</f>
        <v/>
      </c>
      <c r="BZ31" t="str">
        <f>""</f>
        <v/>
      </c>
      <c r="CA31" t="str">
        <f>""</f>
        <v/>
      </c>
      <c r="CB31" t="str">
        <f>""</f>
        <v/>
      </c>
      <c r="CC31" t="str">
        <f>""</f>
        <v/>
      </c>
      <c r="CD31" t="str">
        <f>""</f>
        <v/>
      </c>
      <c r="CE31" t="str">
        <f>""</f>
        <v/>
      </c>
      <c r="CF31" t="str">
        <f>""</f>
        <v/>
      </c>
      <c r="CG31" t="str">
        <f>""</f>
        <v/>
      </c>
      <c r="CH31" t="str">
        <f>""</f>
        <v/>
      </c>
      <c r="CI31" t="str">
        <f>""</f>
        <v/>
      </c>
      <c r="CJ31" t="str">
        <f>""</f>
        <v/>
      </c>
      <c r="CK31" t="str">
        <f>""</f>
        <v/>
      </c>
      <c r="CL31" t="str">
        <f>""</f>
        <v/>
      </c>
      <c r="CM31" t="str">
        <f>""</f>
        <v/>
      </c>
      <c r="CN31" t="str">
        <f>""</f>
        <v/>
      </c>
      <c r="CO31" t="str">
        <f>""</f>
        <v/>
      </c>
      <c r="CP31" t="str">
        <f>""</f>
        <v/>
      </c>
      <c r="CQ31" t="str">
        <f>""</f>
        <v/>
      </c>
      <c r="CR31" t="str">
        <f>""</f>
        <v/>
      </c>
      <c r="CS31" t="str">
        <f>""</f>
        <v/>
      </c>
      <c r="CT31" t="str">
        <f>""</f>
        <v/>
      </c>
      <c r="CU31" t="str">
        <f>""</f>
        <v/>
      </c>
      <c r="CV31" t="str">
        <f>""</f>
        <v/>
      </c>
      <c r="CW31" t="str">
        <f>""</f>
        <v/>
      </c>
      <c r="CX31" t="str">
        <f>""</f>
        <v/>
      </c>
      <c r="CY31" t="str">
        <f>""</f>
        <v/>
      </c>
      <c r="CZ31" t="str">
        <f>""</f>
        <v/>
      </c>
      <c r="DA31" t="str">
        <f>""</f>
        <v/>
      </c>
      <c r="DB31" t="str">
        <f>""</f>
        <v/>
      </c>
      <c r="DC31" t="str">
        <f>""</f>
        <v/>
      </c>
      <c r="DD31" t="str">
        <f>""</f>
        <v/>
      </c>
      <c r="DE31" t="str">
        <f>""</f>
        <v/>
      </c>
      <c r="DF31" t="str">
        <f>""</f>
        <v/>
      </c>
      <c r="DG31" t="str">
        <f>""</f>
        <v/>
      </c>
      <c r="DH31" t="str">
        <f>""</f>
        <v/>
      </c>
      <c r="DI31" t="str">
        <f>""</f>
        <v/>
      </c>
      <c r="DJ31" t="str">
        <f>""</f>
        <v/>
      </c>
      <c r="DK31" t="str">
        <f>""</f>
        <v/>
      </c>
      <c r="DL31" t="str">
        <f>""</f>
        <v/>
      </c>
      <c r="DM31" t="str">
        <f>""</f>
        <v/>
      </c>
      <c r="DN31" t="str">
        <f>""</f>
        <v/>
      </c>
      <c r="DO31" t="str">
        <f>""</f>
        <v/>
      </c>
      <c r="DP31" t="str">
        <f>""</f>
        <v/>
      </c>
      <c r="DQ31" t="str">
        <f>""</f>
        <v/>
      </c>
      <c r="DR31" t="str">
        <f>""</f>
        <v/>
      </c>
      <c r="DS31" t="str">
        <f>""</f>
        <v/>
      </c>
      <c r="DT31" t="str">
        <f>""</f>
        <v/>
      </c>
      <c r="DU31" t="str">
        <f>""</f>
        <v/>
      </c>
    </row>
    <row r="32" spans="1:125" x14ac:dyDescent="0.25">
      <c r="BN32" t="str">
        <f>""</f>
        <v/>
      </c>
      <c r="BO32" t="str">
        <f>""</f>
        <v/>
      </c>
      <c r="BP32" t="str">
        <f>""</f>
        <v/>
      </c>
      <c r="BQ32" t="str">
        <f>""</f>
        <v/>
      </c>
      <c r="BR32" t="str">
        <f>""</f>
        <v/>
      </c>
      <c r="BS32" t="str">
        <f>""</f>
        <v/>
      </c>
      <c r="BT32" t="str">
        <f>""</f>
        <v/>
      </c>
      <c r="BU32" t="str">
        <f>""</f>
        <v/>
      </c>
      <c r="BV32" t="str">
        <f>""</f>
        <v/>
      </c>
      <c r="BW32" t="str">
        <f>""</f>
        <v/>
      </c>
      <c r="BX32" t="str">
        <f>""</f>
        <v/>
      </c>
      <c r="BY32" t="str">
        <f>""</f>
        <v/>
      </c>
      <c r="BZ32" t="str">
        <f>""</f>
        <v/>
      </c>
      <c r="CA32" t="str">
        <f>""</f>
        <v/>
      </c>
      <c r="CB32" t="str">
        <f>""</f>
        <v/>
      </c>
      <c r="CC32" t="str">
        <f>""</f>
        <v/>
      </c>
      <c r="CD32" t="str">
        <f>""</f>
        <v/>
      </c>
      <c r="CE32" t="str">
        <f>""</f>
        <v/>
      </c>
      <c r="CF32" t="str">
        <f>""</f>
        <v/>
      </c>
      <c r="CG32" t="str">
        <f>""</f>
        <v/>
      </c>
      <c r="CH32" t="str">
        <f>""</f>
        <v/>
      </c>
      <c r="CI32" t="str">
        <f>""</f>
        <v/>
      </c>
      <c r="CJ32" t="str">
        <f>""</f>
        <v/>
      </c>
      <c r="CK32" t="str">
        <f>""</f>
        <v/>
      </c>
      <c r="CL32" t="str">
        <f>""</f>
        <v/>
      </c>
      <c r="CM32" t="str">
        <f>""</f>
        <v/>
      </c>
      <c r="CN32" t="str">
        <f>""</f>
        <v/>
      </c>
      <c r="CO32" t="str">
        <f>""</f>
        <v/>
      </c>
      <c r="CP32" t="str">
        <f>""</f>
        <v/>
      </c>
      <c r="CQ32" t="str">
        <f>""</f>
        <v/>
      </c>
      <c r="CR32" t="str">
        <f>""</f>
        <v/>
      </c>
      <c r="CS32" t="str">
        <f>""</f>
        <v/>
      </c>
      <c r="CT32" t="str">
        <f>""</f>
        <v/>
      </c>
      <c r="CU32" t="str">
        <f>""</f>
        <v/>
      </c>
      <c r="CV32" t="str">
        <f>""</f>
        <v/>
      </c>
      <c r="CW32" t="str">
        <f>""</f>
        <v/>
      </c>
      <c r="CX32" t="str">
        <f>""</f>
        <v/>
      </c>
      <c r="CY32" t="str">
        <f>""</f>
        <v/>
      </c>
      <c r="CZ32" t="str">
        <f>""</f>
        <v/>
      </c>
      <c r="DA32" t="str">
        <f>""</f>
        <v/>
      </c>
      <c r="DB32" t="str">
        <f>""</f>
        <v/>
      </c>
      <c r="DC32" t="str">
        <f>""</f>
        <v/>
      </c>
      <c r="DD32" t="str">
        <f>""</f>
        <v/>
      </c>
      <c r="DE32" t="str">
        <f>""</f>
        <v/>
      </c>
      <c r="DF32" t="str">
        <f>""</f>
        <v/>
      </c>
      <c r="DG32" t="str">
        <f>""</f>
        <v/>
      </c>
      <c r="DH32" t="str">
        <f>""</f>
        <v/>
      </c>
      <c r="DI32" t="str">
        <f>""</f>
        <v/>
      </c>
      <c r="DJ32" t="str">
        <f>""</f>
        <v/>
      </c>
      <c r="DK32" t="str">
        <f>""</f>
        <v/>
      </c>
      <c r="DL32" t="str">
        <f>""</f>
        <v/>
      </c>
      <c r="DM32" t="str">
        <f>""</f>
        <v/>
      </c>
      <c r="DN32" t="str">
        <f>""</f>
        <v/>
      </c>
      <c r="DO32" t="str">
        <f>""</f>
        <v/>
      </c>
      <c r="DP32" t="str">
        <f>""</f>
        <v/>
      </c>
      <c r="DQ32" t="str">
        <f>""</f>
        <v/>
      </c>
      <c r="DR32" t="str">
        <f>""</f>
        <v/>
      </c>
      <c r="DS32" t="str">
        <f>""</f>
        <v/>
      </c>
      <c r="DT32" t="str">
        <f>""</f>
        <v/>
      </c>
      <c r="DU32" t="str">
        <f>""</f>
        <v/>
      </c>
    </row>
    <row r="33" spans="1:125" x14ac:dyDescent="0.25">
      <c r="B33" t="str">
        <f>"EUGDEMU Index"</f>
        <v>EUGDEMU Index</v>
      </c>
      <c r="C33" t="str">
        <f>"PR005"</f>
        <v>PR005</v>
      </c>
      <c r="D33" t="str">
        <f>"PX_LAST"</f>
        <v>PX_LAST</v>
      </c>
      <c r="E33" t="str">
        <f>"Dynamic"</f>
        <v>Dynamic</v>
      </c>
      <c r="F33" t="str">
        <f ca="1">_xll.BDH($B$33,$C$33,$B$29,$B$30,CONCATENATE("Per=",$B$27),"Dts=H","Dir=H",CONCATENATE("Points=",$B$28),"Sort=R","Days=A","Fill=B",CONCATENATE("FX=", $B$26),"cols=60;rows=1")</f>
        <v/>
      </c>
      <c r="G33">
        <v>3929297</v>
      </c>
      <c r="H33">
        <v>3896463.7</v>
      </c>
      <c r="I33">
        <v>3858984.2</v>
      </c>
      <c r="J33">
        <v>3813480.7</v>
      </c>
      <c r="K33">
        <v>3777155.7</v>
      </c>
      <c r="L33">
        <v>3750575.2</v>
      </c>
      <c r="M33">
        <v>3715813.2</v>
      </c>
      <c r="N33">
        <v>3676059</v>
      </c>
      <c r="O33">
        <v>3650384.3</v>
      </c>
      <c r="P33">
        <v>3602559.7</v>
      </c>
      <c r="Q33">
        <v>3535490.8</v>
      </c>
      <c r="R33">
        <v>3468606.1</v>
      </c>
      <c r="S33">
        <v>3409710.2</v>
      </c>
      <c r="T33">
        <v>3335666.4</v>
      </c>
      <c r="U33">
        <v>3263558.6</v>
      </c>
      <c r="V33">
        <v>3201574.3</v>
      </c>
      <c r="W33">
        <v>3107253.9</v>
      </c>
      <c r="X33">
        <v>3030774.8</v>
      </c>
      <c r="Y33">
        <v>2991940</v>
      </c>
      <c r="Z33">
        <v>2959485.6</v>
      </c>
      <c r="AA33">
        <v>2678858.5</v>
      </c>
      <c r="AB33">
        <v>2976960.5</v>
      </c>
      <c r="AC33">
        <v>3064466.6</v>
      </c>
      <c r="AD33">
        <v>3050008.8</v>
      </c>
      <c r="AE33">
        <v>3028402.6</v>
      </c>
      <c r="AF33">
        <v>3007056.9</v>
      </c>
      <c r="AG33">
        <v>2975725.2</v>
      </c>
      <c r="AH33">
        <v>2945496.2</v>
      </c>
      <c r="AI33">
        <v>2927710.2</v>
      </c>
      <c r="AJ33">
        <v>2905232.5</v>
      </c>
      <c r="AK33">
        <v>2891130.4</v>
      </c>
      <c r="AL33">
        <v>2857324.5</v>
      </c>
      <c r="AM33">
        <v>2829929.9</v>
      </c>
      <c r="AN33">
        <v>2799729.4</v>
      </c>
      <c r="AO33">
        <v>2766571.3</v>
      </c>
      <c r="AP33">
        <v>2743332.7</v>
      </c>
      <c r="AQ33">
        <v>2723119.9</v>
      </c>
      <c r="AR33">
        <v>2713362.7</v>
      </c>
      <c r="AS33">
        <v>2693841.9</v>
      </c>
      <c r="AT33">
        <v>2676810.2000000002</v>
      </c>
      <c r="AU33">
        <v>2656114</v>
      </c>
      <c r="AV33">
        <v>2633690.4</v>
      </c>
      <c r="AW33">
        <v>2601258.2999999998</v>
      </c>
      <c r="AX33">
        <v>2583820.2999999998</v>
      </c>
      <c r="AY33">
        <v>2567001.4</v>
      </c>
      <c r="AZ33">
        <v>2555555.7999999998</v>
      </c>
      <c r="BA33">
        <v>2532400.2000000002</v>
      </c>
      <c r="BB33">
        <v>2525104.1</v>
      </c>
      <c r="BC33">
        <v>2514535.9</v>
      </c>
      <c r="BD33">
        <v>2492433.6</v>
      </c>
      <c r="BE33">
        <v>2486938.6</v>
      </c>
      <c r="BF33">
        <v>2492592.2000000002</v>
      </c>
      <c r="BG33">
        <v>2485615.9</v>
      </c>
      <c r="BH33">
        <v>2487488</v>
      </c>
      <c r="BI33">
        <v>2484158</v>
      </c>
      <c r="BJ33">
        <v>2484922.9</v>
      </c>
      <c r="BK33">
        <v>2476800.6</v>
      </c>
      <c r="BL33">
        <v>2471698.7000000002</v>
      </c>
      <c r="BM33">
        <v>2439136</v>
      </c>
      <c r="BN33" t="str">
        <f>""</f>
        <v/>
      </c>
      <c r="BO33" t="str">
        <f>""</f>
        <v/>
      </c>
      <c r="BP33" t="str">
        <f>""</f>
        <v/>
      </c>
      <c r="BQ33" t="str">
        <f>""</f>
        <v/>
      </c>
      <c r="BR33" t="str">
        <f>""</f>
        <v/>
      </c>
      <c r="BS33" t="str">
        <f>""</f>
        <v/>
      </c>
      <c r="BT33" t="str">
        <f>""</f>
        <v/>
      </c>
      <c r="BU33" t="str">
        <f>""</f>
        <v/>
      </c>
      <c r="BV33" t="str">
        <f>""</f>
        <v/>
      </c>
      <c r="BW33" t="str">
        <f>""</f>
        <v/>
      </c>
      <c r="BX33" t="str">
        <f>""</f>
        <v/>
      </c>
      <c r="BY33" t="str">
        <f>""</f>
        <v/>
      </c>
      <c r="BZ33" t="str">
        <f>""</f>
        <v/>
      </c>
      <c r="CA33" t="str">
        <f>""</f>
        <v/>
      </c>
      <c r="CB33" t="str">
        <f>""</f>
        <v/>
      </c>
      <c r="CC33" t="str">
        <f>""</f>
        <v/>
      </c>
      <c r="CD33" t="str">
        <f>""</f>
        <v/>
      </c>
      <c r="CE33" t="str">
        <f>""</f>
        <v/>
      </c>
      <c r="CF33" t="str">
        <f>""</f>
        <v/>
      </c>
      <c r="CG33" t="str">
        <f>""</f>
        <v/>
      </c>
      <c r="CH33" t="str">
        <f>""</f>
        <v/>
      </c>
      <c r="CI33" t="str">
        <f>""</f>
        <v/>
      </c>
      <c r="CJ33" t="str">
        <f>""</f>
        <v/>
      </c>
      <c r="CK33" t="str">
        <f>""</f>
        <v/>
      </c>
      <c r="CL33" t="str">
        <f>""</f>
        <v/>
      </c>
      <c r="CM33" t="str">
        <f>""</f>
        <v/>
      </c>
      <c r="CN33" t="str">
        <f>""</f>
        <v/>
      </c>
      <c r="CO33" t="str">
        <f>""</f>
        <v/>
      </c>
      <c r="CP33" t="str">
        <f>""</f>
        <v/>
      </c>
      <c r="CQ33" t="str">
        <f>""</f>
        <v/>
      </c>
      <c r="CR33" t="str">
        <f>""</f>
        <v/>
      </c>
      <c r="CS33" t="str">
        <f>""</f>
        <v/>
      </c>
      <c r="CT33" t="str">
        <f>""</f>
        <v/>
      </c>
      <c r="CU33" t="str">
        <f>""</f>
        <v/>
      </c>
      <c r="CV33" t="str">
        <f>""</f>
        <v/>
      </c>
      <c r="CW33" t="str">
        <f>""</f>
        <v/>
      </c>
      <c r="CX33" t="str">
        <f>""</f>
        <v/>
      </c>
      <c r="CY33" t="str">
        <f>""</f>
        <v/>
      </c>
      <c r="CZ33" t="str">
        <f>""</f>
        <v/>
      </c>
      <c r="DA33" t="str">
        <f>""</f>
        <v/>
      </c>
      <c r="DB33" t="str">
        <f>""</f>
        <v/>
      </c>
      <c r="DC33" t="str">
        <f>""</f>
        <v/>
      </c>
      <c r="DD33" t="str">
        <f>""</f>
        <v/>
      </c>
      <c r="DE33" t="str">
        <f>""</f>
        <v/>
      </c>
      <c r="DF33" t="str">
        <f>""</f>
        <v/>
      </c>
      <c r="DG33" t="str">
        <f>""</f>
        <v/>
      </c>
      <c r="DH33" t="str">
        <f>""</f>
        <v/>
      </c>
      <c r="DI33" t="str">
        <f>""</f>
        <v/>
      </c>
      <c r="DJ33" t="str">
        <f>""</f>
        <v/>
      </c>
      <c r="DK33" t="str">
        <f>""</f>
        <v/>
      </c>
      <c r="DL33" t="str">
        <f>""</f>
        <v/>
      </c>
      <c r="DM33" t="str">
        <f>""</f>
        <v/>
      </c>
      <c r="DN33" t="str">
        <f>""</f>
        <v/>
      </c>
      <c r="DO33" t="str">
        <f>""</f>
        <v/>
      </c>
      <c r="DP33" t="str">
        <f>""</f>
        <v/>
      </c>
      <c r="DQ33" t="str">
        <f>""</f>
        <v/>
      </c>
      <c r="DR33" t="str">
        <f>""</f>
        <v/>
      </c>
      <c r="DS33" t="str">
        <f>""</f>
        <v/>
      </c>
      <c r="DT33" t="str">
        <f>""</f>
        <v/>
      </c>
      <c r="DU33" t="str">
        <f>""</f>
        <v/>
      </c>
    </row>
    <row r="34" spans="1:125" x14ac:dyDescent="0.25">
      <c r="B34" t="str">
        <f>"ENFCEAS Index"</f>
        <v>ENFCEAS Index</v>
      </c>
      <c r="C34" t="str">
        <f>"PR005"</f>
        <v>PR005</v>
      </c>
      <c r="D34" t="str">
        <f>"PX_LAST"</f>
        <v>PX_LAST</v>
      </c>
      <c r="E34" t="str">
        <f>"Dynamic"</f>
        <v>Dynamic</v>
      </c>
      <c r="F34" t="str">
        <f ca="1">_xll.BDH($B$34,$C$34,$B$29,$B$30,CONCATENATE("Per=",$B$27),"Dts=H","Dir=H",CONCATENATE("Points=",$B$28),"Sort=R","Days=A","Fill=B",CONCATENATE("FX=", $B$26),"cols=60;rows=1")</f>
        <v/>
      </c>
      <c r="G34">
        <v>2912344.4</v>
      </c>
      <c r="H34">
        <v>2889793.8</v>
      </c>
      <c r="I34">
        <v>2861772.7999999998</v>
      </c>
      <c r="J34">
        <v>2836068.4</v>
      </c>
      <c r="K34">
        <v>2806310.2</v>
      </c>
      <c r="L34">
        <v>2780409</v>
      </c>
      <c r="M34">
        <v>2754331.1</v>
      </c>
      <c r="N34">
        <v>2724238.2</v>
      </c>
      <c r="O34">
        <v>2698777.9</v>
      </c>
      <c r="P34">
        <v>2663201.1</v>
      </c>
      <c r="Q34">
        <v>2624829.7999999998</v>
      </c>
      <c r="R34">
        <v>2579697.7999999998</v>
      </c>
      <c r="S34">
        <v>2522694.1</v>
      </c>
      <c r="T34">
        <v>2463502.2999999998</v>
      </c>
      <c r="U34">
        <v>2399868.1</v>
      </c>
      <c r="V34">
        <v>2359822.9</v>
      </c>
      <c r="W34">
        <v>2276529.4</v>
      </c>
      <c r="X34">
        <v>2197462.6</v>
      </c>
      <c r="Y34">
        <v>2191536.7000000002</v>
      </c>
      <c r="Z34">
        <v>2222814.2000000002</v>
      </c>
      <c r="AA34">
        <v>2020278.7</v>
      </c>
      <c r="AB34">
        <v>2204842.6</v>
      </c>
      <c r="AC34">
        <v>2272155.7999999998</v>
      </c>
      <c r="AD34">
        <v>2262970.2000000002</v>
      </c>
      <c r="AE34">
        <v>2243975.4</v>
      </c>
      <c r="AF34">
        <v>2224117.1</v>
      </c>
      <c r="AG34">
        <v>2211375.6</v>
      </c>
      <c r="AH34">
        <v>2192389</v>
      </c>
      <c r="AI34">
        <v>2179299.5</v>
      </c>
      <c r="AJ34">
        <v>2162951</v>
      </c>
      <c r="AK34">
        <v>2146239.7999999998</v>
      </c>
      <c r="AL34">
        <v>2127886.5</v>
      </c>
      <c r="AM34">
        <v>2115668.2000000002</v>
      </c>
      <c r="AN34">
        <v>2097560.6</v>
      </c>
      <c r="AO34">
        <v>2079802.9</v>
      </c>
      <c r="AP34">
        <v>2060174.3</v>
      </c>
      <c r="AQ34">
        <v>2046251.4</v>
      </c>
      <c r="AR34">
        <v>2035393.1</v>
      </c>
      <c r="AS34">
        <v>2024633.2</v>
      </c>
      <c r="AT34">
        <v>2015130.3</v>
      </c>
      <c r="AU34">
        <v>2006460.1</v>
      </c>
      <c r="AV34">
        <v>1986227.1</v>
      </c>
      <c r="AW34">
        <v>1981316.1</v>
      </c>
      <c r="AX34">
        <v>1969692.5</v>
      </c>
      <c r="AY34">
        <v>1959424.3</v>
      </c>
      <c r="AZ34">
        <v>1951930.7</v>
      </c>
      <c r="BA34">
        <v>1946272.6</v>
      </c>
      <c r="BB34">
        <v>1941414.2</v>
      </c>
      <c r="BC34">
        <v>1931903.5</v>
      </c>
      <c r="BD34">
        <v>1924521.3</v>
      </c>
      <c r="BE34">
        <v>1920143.6</v>
      </c>
      <c r="BF34">
        <v>1922322.8</v>
      </c>
      <c r="BG34">
        <v>1919849.8</v>
      </c>
      <c r="BH34">
        <v>1921359</v>
      </c>
      <c r="BI34">
        <v>1915408.1</v>
      </c>
      <c r="BJ34">
        <v>1911825.2</v>
      </c>
      <c r="BK34">
        <v>1907576.2</v>
      </c>
      <c r="BL34">
        <v>1899056.1</v>
      </c>
      <c r="BM34">
        <v>1889637</v>
      </c>
      <c r="BN34" t="str">
        <f>""</f>
        <v/>
      </c>
      <c r="BO34" t="str">
        <f>""</f>
        <v/>
      </c>
      <c r="BP34" t="str">
        <f>""</f>
        <v/>
      </c>
      <c r="BQ34" t="str">
        <f>""</f>
        <v/>
      </c>
      <c r="BR34" t="str">
        <f>""</f>
        <v/>
      </c>
      <c r="BS34" t="str">
        <f>""</f>
        <v/>
      </c>
      <c r="BT34" t="str">
        <f>""</f>
        <v/>
      </c>
      <c r="BU34" t="str">
        <f>""</f>
        <v/>
      </c>
      <c r="BV34" t="str">
        <f>""</f>
        <v/>
      </c>
      <c r="BW34" t="str">
        <f>""</f>
        <v/>
      </c>
      <c r="BX34" t="str">
        <f>""</f>
        <v/>
      </c>
      <c r="BY34" t="str">
        <f>""</f>
        <v/>
      </c>
      <c r="BZ34" t="str">
        <f>""</f>
        <v/>
      </c>
      <c r="CA34" t="str">
        <f>""</f>
        <v/>
      </c>
      <c r="CB34" t="str">
        <f>""</f>
        <v/>
      </c>
      <c r="CC34" t="str">
        <f>""</f>
        <v/>
      </c>
      <c r="CD34" t="str">
        <f>""</f>
        <v/>
      </c>
      <c r="CE34" t="str">
        <f>""</f>
        <v/>
      </c>
      <c r="CF34" t="str">
        <f>""</f>
        <v/>
      </c>
      <c r="CG34" t="str">
        <f>""</f>
        <v/>
      </c>
      <c r="CH34" t="str">
        <f>""</f>
        <v/>
      </c>
      <c r="CI34" t="str">
        <f>""</f>
        <v/>
      </c>
      <c r="CJ34" t="str">
        <f>""</f>
        <v/>
      </c>
      <c r="CK34" t="str">
        <f>""</f>
        <v/>
      </c>
      <c r="CL34" t="str">
        <f>""</f>
        <v/>
      </c>
      <c r="CM34" t="str">
        <f>""</f>
        <v/>
      </c>
      <c r="CN34" t="str">
        <f>""</f>
        <v/>
      </c>
      <c r="CO34" t="str">
        <f>""</f>
        <v/>
      </c>
      <c r="CP34" t="str">
        <f>""</f>
        <v/>
      </c>
      <c r="CQ34" t="str">
        <f>""</f>
        <v/>
      </c>
      <c r="CR34" t="str">
        <f>""</f>
        <v/>
      </c>
      <c r="CS34" t="str">
        <f>""</f>
        <v/>
      </c>
      <c r="CT34" t="str">
        <f>""</f>
        <v/>
      </c>
      <c r="CU34" t="str">
        <f>""</f>
        <v/>
      </c>
      <c r="CV34" t="str">
        <f>""</f>
        <v/>
      </c>
      <c r="CW34" t="str">
        <f>""</f>
        <v/>
      </c>
      <c r="CX34" t="str">
        <f>""</f>
        <v/>
      </c>
      <c r="CY34" t="str">
        <f>""</f>
        <v/>
      </c>
      <c r="CZ34" t="str">
        <f>""</f>
        <v/>
      </c>
      <c r="DA34" t="str">
        <f>""</f>
        <v/>
      </c>
      <c r="DB34" t="str">
        <f>""</f>
        <v/>
      </c>
      <c r="DC34" t="str">
        <f>""</f>
        <v/>
      </c>
      <c r="DD34" t="str">
        <f>""</f>
        <v/>
      </c>
      <c r="DE34" t="str">
        <f>""</f>
        <v/>
      </c>
      <c r="DF34" t="str">
        <f>""</f>
        <v/>
      </c>
      <c r="DG34" t="str">
        <f>""</f>
        <v/>
      </c>
      <c r="DH34" t="str">
        <f>""</f>
        <v/>
      </c>
      <c r="DI34" t="str">
        <f>""</f>
        <v/>
      </c>
      <c r="DJ34" t="str">
        <f>""</f>
        <v/>
      </c>
      <c r="DK34" t="str">
        <f>""</f>
        <v/>
      </c>
      <c r="DL34" t="str">
        <f>""</f>
        <v/>
      </c>
      <c r="DM34" t="str">
        <f>""</f>
        <v/>
      </c>
      <c r="DN34" t="str">
        <f>""</f>
        <v/>
      </c>
      <c r="DO34" t="str">
        <f>""</f>
        <v/>
      </c>
      <c r="DP34" t="str">
        <f>""</f>
        <v/>
      </c>
      <c r="DQ34" t="str">
        <f>""</f>
        <v/>
      </c>
      <c r="DR34" t="str">
        <f>""</f>
        <v/>
      </c>
      <c r="DS34" t="str">
        <f>""</f>
        <v/>
      </c>
      <c r="DT34" t="str">
        <f>""</f>
        <v/>
      </c>
      <c r="DU34" t="str">
        <f>""</f>
        <v/>
      </c>
    </row>
    <row r="35" spans="1:125" x14ac:dyDescent="0.25">
      <c r="B35" t="str">
        <f>"ENCPEAS Index"</f>
        <v>ENCPEAS Index</v>
      </c>
      <c r="C35" t="str">
        <f>"PR005"</f>
        <v>PR005</v>
      </c>
      <c r="D35" t="str">
        <f>"PX_LAST"</f>
        <v>PX_LAST</v>
      </c>
      <c r="E35" t="str">
        <f>"Dynamic"</f>
        <v>Dynamic</v>
      </c>
      <c r="F35" t="str">
        <f ca="1">_xll.BDH($B$35,$C$35,$B$29,$B$30,CONCATENATE("Per=",$B$27),"Dts=H","Dir=H",CONCATENATE("Points=",$B$28),"Sort=R","Days=A","Fill=B",CONCATENATE("FX=", $B$26),"cols=60;rows=1")</f>
        <v/>
      </c>
      <c r="G35">
        <v>852753.6</v>
      </c>
      <c r="H35">
        <v>845800.9</v>
      </c>
      <c r="I35">
        <v>833716.6</v>
      </c>
      <c r="J35">
        <v>819790.9</v>
      </c>
      <c r="K35">
        <v>788315.7</v>
      </c>
      <c r="L35">
        <v>797616.1</v>
      </c>
      <c r="M35">
        <v>820406.8</v>
      </c>
      <c r="N35">
        <v>813166.8</v>
      </c>
      <c r="O35">
        <v>823938.1</v>
      </c>
      <c r="P35">
        <v>823291.6</v>
      </c>
      <c r="Q35">
        <v>825287.6</v>
      </c>
      <c r="R35">
        <v>849588.1</v>
      </c>
      <c r="S35">
        <v>824152.7</v>
      </c>
      <c r="T35">
        <v>783777.8</v>
      </c>
      <c r="U35">
        <v>771845.6</v>
      </c>
      <c r="V35">
        <v>709441</v>
      </c>
      <c r="W35">
        <v>696265.5</v>
      </c>
      <c r="X35">
        <v>688881.7</v>
      </c>
      <c r="Y35">
        <v>667968.69999999995</v>
      </c>
      <c r="Z35">
        <v>609635</v>
      </c>
      <c r="AA35">
        <v>569919.80000000005</v>
      </c>
      <c r="AB35">
        <v>705110.7</v>
      </c>
      <c r="AC35">
        <v>721676.5</v>
      </c>
      <c r="AD35">
        <v>655541.30000000005</v>
      </c>
      <c r="AE35">
        <v>693332.1</v>
      </c>
      <c r="AF35">
        <v>651101</v>
      </c>
      <c r="AG35">
        <v>669917.30000000005</v>
      </c>
      <c r="AH35">
        <v>638356.1</v>
      </c>
      <c r="AI35">
        <v>622103.9</v>
      </c>
      <c r="AJ35">
        <v>610290.5</v>
      </c>
      <c r="AK35">
        <v>606209</v>
      </c>
      <c r="AL35">
        <v>592146.1</v>
      </c>
      <c r="AM35">
        <v>618956.19999999995</v>
      </c>
      <c r="AN35">
        <v>574991.69999999995</v>
      </c>
      <c r="AO35">
        <v>577179.4</v>
      </c>
      <c r="AP35">
        <v>558826.6</v>
      </c>
      <c r="AQ35">
        <v>549449.9</v>
      </c>
      <c r="AR35">
        <v>551149.19999999995</v>
      </c>
      <c r="AS35">
        <v>550652.5</v>
      </c>
      <c r="AT35">
        <v>532652.6</v>
      </c>
      <c r="AU35">
        <v>549626.9</v>
      </c>
      <c r="AV35">
        <v>515160.6</v>
      </c>
      <c r="AW35">
        <v>508833.7</v>
      </c>
      <c r="AX35">
        <v>513627.8</v>
      </c>
      <c r="AY35">
        <v>510702.4</v>
      </c>
      <c r="AZ35">
        <v>509518.6</v>
      </c>
      <c r="BA35">
        <v>495466.1</v>
      </c>
      <c r="BB35">
        <v>495740.2</v>
      </c>
      <c r="BC35">
        <v>489063.5</v>
      </c>
      <c r="BD35">
        <v>478585.4</v>
      </c>
      <c r="BE35">
        <v>481396.7</v>
      </c>
      <c r="BF35">
        <v>487761.9</v>
      </c>
      <c r="BG35">
        <v>496757.3</v>
      </c>
      <c r="BH35">
        <v>506516.1</v>
      </c>
      <c r="BI35">
        <v>515712.5</v>
      </c>
      <c r="BJ35">
        <v>527796.5</v>
      </c>
      <c r="BK35">
        <v>531505.30000000005</v>
      </c>
      <c r="BL35">
        <v>540240.6</v>
      </c>
      <c r="BM35">
        <v>510223.9</v>
      </c>
      <c r="BN35" t="str">
        <f>""</f>
        <v/>
      </c>
      <c r="BO35" t="str">
        <f>""</f>
        <v/>
      </c>
      <c r="BP35" t="str">
        <f>""</f>
        <v/>
      </c>
      <c r="BQ35" t="str">
        <f>""</f>
        <v/>
      </c>
      <c r="BR35" t="str">
        <f>""</f>
        <v/>
      </c>
      <c r="BS35" t="str">
        <f>""</f>
        <v/>
      </c>
      <c r="BT35" t="str">
        <f>""</f>
        <v/>
      </c>
      <c r="BU35" t="str">
        <f>""</f>
        <v/>
      </c>
      <c r="BV35" t="str">
        <f>""</f>
        <v/>
      </c>
      <c r="BW35" t="str">
        <f>""</f>
        <v/>
      </c>
      <c r="BX35" t="str">
        <f>""</f>
        <v/>
      </c>
      <c r="BY35" t="str">
        <f>""</f>
        <v/>
      </c>
      <c r="BZ35" t="str">
        <f>""</f>
        <v/>
      </c>
      <c r="CA35" t="str">
        <f>""</f>
        <v/>
      </c>
      <c r="CB35" t="str">
        <f>""</f>
        <v/>
      </c>
      <c r="CC35" t="str">
        <f>""</f>
        <v/>
      </c>
      <c r="CD35" t="str">
        <f>""</f>
        <v/>
      </c>
      <c r="CE35" t="str">
        <f>""</f>
        <v/>
      </c>
      <c r="CF35" t="str">
        <f>""</f>
        <v/>
      </c>
      <c r="CG35" t="str">
        <f>""</f>
        <v/>
      </c>
      <c r="CH35" t="str">
        <f>""</f>
        <v/>
      </c>
      <c r="CI35" t="str">
        <f>""</f>
        <v/>
      </c>
      <c r="CJ35" t="str">
        <f>""</f>
        <v/>
      </c>
      <c r="CK35" t="str">
        <f>""</f>
        <v/>
      </c>
      <c r="CL35" t="str">
        <f>""</f>
        <v/>
      </c>
      <c r="CM35" t="str">
        <f>""</f>
        <v/>
      </c>
      <c r="CN35" t="str">
        <f>""</f>
        <v/>
      </c>
      <c r="CO35" t="str">
        <f>""</f>
        <v/>
      </c>
      <c r="CP35" t="str">
        <f>""</f>
        <v/>
      </c>
      <c r="CQ35" t="str">
        <f>""</f>
        <v/>
      </c>
      <c r="CR35" t="str">
        <f>""</f>
        <v/>
      </c>
      <c r="CS35" t="str">
        <f>""</f>
        <v/>
      </c>
      <c r="CT35" t="str">
        <f>""</f>
        <v/>
      </c>
      <c r="CU35" t="str">
        <f>""</f>
        <v/>
      </c>
      <c r="CV35" t="str">
        <f>""</f>
        <v/>
      </c>
      <c r="CW35" t="str">
        <f>""</f>
        <v/>
      </c>
      <c r="CX35" t="str">
        <f>""</f>
        <v/>
      </c>
      <c r="CY35" t="str">
        <f>""</f>
        <v/>
      </c>
      <c r="CZ35" t="str">
        <f>""</f>
        <v/>
      </c>
      <c r="DA35" t="str">
        <f>""</f>
        <v/>
      </c>
      <c r="DB35" t="str">
        <f>""</f>
        <v/>
      </c>
      <c r="DC35" t="str">
        <f>""</f>
        <v/>
      </c>
      <c r="DD35" t="str">
        <f>""</f>
        <v/>
      </c>
      <c r="DE35" t="str">
        <f>""</f>
        <v/>
      </c>
      <c r="DF35" t="str">
        <f>""</f>
        <v/>
      </c>
      <c r="DG35" t="str">
        <f>""</f>
        <v/>
      </c>
      <c r="DH35" t="str">
        <f>""</f>
        <v/>
      </c>
      <c r="DI35" t="str">
        <f>""</f>
        <v/>
      </c>
      <c r="DJ35" t="str">
        <f>""</f>
        <v/>
      </c>
      <c r="DK35" t="str">
        <f>""</f>
        <v/>
      </c>
      <c r="DL35" t="str">
        <f>""</f>
        <v/>
      </c>
      <c r="DM35" t="str">
        <f>""</f>
        <v/>
      </c>
      <c r="DN35" t="str">
        <f>""</f>
        <v/>
      </c>
      <c r="DO35" t="str">
        <f>""</f>
        <v/>
      </c>
      <c r="DP35" t="str">
        <f>""</f>
        <v/>
      </c>
      <c r="DQ35" t="str">
        <f>""</f>
        <v/>
      </c>
      <c r="DR35" t="str">
        <f>""</f>
        <v/>
      </c>
      <c r="DS35" t="str">
        <f>""</f>
        <v/>
      </c>
      <c r="DT35" t="str">
        <f>""</f>
        <v/>
      </c>
      <c r="DU35" t="str">
        <f>""</f>
        <v/>
      </c>
    </row>
    <row r="36" spans="1:125" x14ac:dyDescent="0.25">
      <c r="B36" t="str">
        <f>"ECEXEMU Index"</f>
        <v>ECEXEMU Index</v>
      </c>
      <c r="C36" t="str">
        <f>"PR005"</f>
        <v>PR005</v>
      </c>
      <c r="D36" t="str">
        <f>"PX_LAST"</f>
        <v>PX_LAST</v>
      </c>
      <c r="E36" t="str">
        <f>"Dynamic"</f>
        <v>Dynamic</v>
      </c>
      <c r="F36" t="str">
        <f ca="1">_xll.BDH($B$36,$C$36,$B$29,$B$30,CONCATENATE("Per=",$B$27),"Dts=H","Dir=H",CONCATENATE("Points=",$B$28),"Sort=R","Days=A","Fill=B",CONCATENATE("FX=", $B$26),"cols=60;rows=1")</f>
        <v/>
      </c>
      <c r="G36">
        <v>1911614.6</v>
      </c>
      <c r="H36">
        <v>1928971.1</v>
      </c>
      <c r="I36">
        <v>1884332.2</v>
      </c>
      <c r="J36">
        <v>1869738</v>
      </c>
      <c r="K36">
        <v>1892091.4</v>
      </c>
      <c r="L36">
        <v>1844595</v>
      </c>
      <c r="M36">
        <v>1843046.2</v>
      </c>
      <c r="N36">
        <v>1825697.3</v>
      </c>
      <c r="O36">
        <v>1846761.7</v>
      </c>
      <c r="P36">
        <v>1875818.2</v>
      </c>
      <c r="Q36">
        <v>1917963</v>
      </c>
      <c r="R36">
        <v>1915848.1</v>
      </c>
      <c r="S36">
        <v>1845846.2</v>
      </c>
      <c r="T36">
        <v>1742618</v>
      </c>
      <c r="U36">
        <v>1652511.7</v>
      </c>
      <c r="V36">
        <v>1552155.4</v>
      </c>
      <c r="W36">
        <v>1482392</v>
      </c>
      <c r="X36">
        <v>1421969.6</v>
      </c>
      <c r="Y36">
        <v>1375000.3</v>
      </c>
      <c r="Z36">
        <v>1292618.5</v>
      </c>
      <c r="AA36">
        <v>1113300.3999999999</v>
      </c>
      <c r="AB36">
        <v>1397883.5</v>
      </c>
      <c r="AC36">
        <v>1447984.8</v>
      </c>
      <c r="AD36">
        <v>1442578.5</v>
      </c>
      <c r="AE36">
        <v>1439511.1</v>
      </c>
      <c r="AF36">
        <v>1433788.8</v>
      </c>
      <c r="AG36">
        <v>1406679.2</v>
      </c>
      <c r="AH36">
        <v>1396427.1</v>
      </c>
      <c r="AI36">
        <v>1377665.2</v>
      </c>
      <c r="AJ36">
        <v>1358746.1</v>
      </c>
      <c r="AK36">
        <v>1353606.6</v>
      </c>
      <c r="AL36">
        <v>1318740.8</v>
      </c>
      <c r="AM36">
        <v>1308684.3999999999</v>
      </c>
      <c r="AN36">
        <v>1291475.7</v>
      </c>
      <c r="AO36">
        <v>1248451.3</v>
      </c>
      <c r="AP36">
        <v>1228810.3</v>
      </c>
      <c r="AQ36">
        <v>1210784.1000000001</v>
      </c>
      <c r="AR36">
        <v>1200040.7</v>
      </c>
      <c r="AS36">
        <v>1207705.5</v>
      </c>
      <c r="AT36">
        <v>1205274.7</v>
      </c>
      <c r="AU36">
        <v>1207318.3</v>
      </c>
      <c r="AV36">
        <v>1186980.6000000001</v>
      </c>
      <c r="AW36">
        <v>1147354.3</v>
      </c>
      <c r="AX36">
        <v>1134539.6000000001</v>
      </c>
      <c r="AY36">
        <v>1114552.3999999999</v>
      </c>
      <c r="AZ36">
        <v>1103295.5</v>
      </c>
      <c r="BA36">
        <v>1097209.8999999999</v>
      </c>
      <c r="BB36">
        <v>1088280.8</v>
      </c>
      <c r="BC36">
        <v>1080785.2</v>
      </c>
      <c r="BD36">
        <v>1074234.7</v>
      </c>
      <c r="BE36">
        <v>1072221.7</v>
      </c>
      <c r="BF36">
        <v>1077017.8999999999</v>
      </c>
      <c r="BG36">
        <v>1060489.7</v>
      </c>
      <c r="BH36">
        <v>1051766.8</v>
      </c>
      <c r="BI36">
        <v>1029793.5</v>
      </c>
      <c r="BJ36">
        <v>1028642.1</v>
      </c>
      <c r="BK36">
        <v>1017830.9</v>
      </c>
      <c r="BL36">
        <v>1004163.1</v>
      </c>
      <c r="BM36">
        <v>967902.9</v>
      </c>
      <c r="BN36" t="str">
        <f>""</f>
        <v/>
      </c>
      <c r="BO36" t="str">
        <f>""</f>
        <v/>
      </c>
      <c r="BP36" t="str">
        <f>""</f>
        <v/>
      </c>
      <c r="BQ36" t="str">
        <f>""</f>
        <v/>
      </c>
      <c r="BR36" t="str">
        <f>""</f>
        <v/>
      </c>
      <c r="BS36" t="str">
        <f>""</f>
        <v/>
      </c>
      <c r="BT36" t="str">
        <f>""</f>
        <v/>
      </c>
      <c r="BU36" t="str">
        <f>""</f>
        <v/>
      </c>
      <c r="BV36" t="str">
        <f>""</f>
        <v/>
      </c>
      <c r="BW36" t="str">
        <f>""</f>
        <v/>
      </c>
      <c r="BX36" t="str">
        <f>""</f>
        <v/>
      </c>
      <c r="BY36" t="str">
        <f>""</f>
        <v/>
      </c>
      <c r="BZ36" t="str">
        <f>""</f>
        <v/>
      </c>
      <c r="CA36" t="str">
        <f>""</f>
        <v/>
      </c>
      <c r="CB36" t="str">
        <f>""</f>
        <v/>
      </c>
      <c r="CC36" t="str">
        <f>""</f>
        <v/>
      </c>
      <c r="CD36" t="str">
        <f>""</f>
        <v/>
      </c>
      <c r="CE36" t="str">
        <f>""</f>
        <v/>
      </c>
      <c r="CF36" t="str">
        <f>""</f>
        <v/>
      </c>
      <c r="CG36" t="str">
        <f>""</f>
        <v/>
      </c>
      <c r="CH36" t="str">
        <f>""</f>
        <v/>
      </c>
      <c r="CI36" t="str">
        <f>""</f>
        <v/>
      </c>
      <c r="CJ36" t="str">
        <f>""</f>
        <v/>
      </c>
      <c r="CK36" t="str">
        <f>""</f>
        <v/>
      </c>
      <c r="CL36" t="str">
        <f>""</f>
        <v/>
      </c>
      <c r="CM36" t="str">
        <f>""</f>
        <v/>
      </c>
      <c r="CN36" t="str">
        <f>""</f>
        <v/>
      </c>
      <c r="CO36" t="str">
        <f>""</f>
        <v/>
      </c>
      <c r="CP36" t="str">
        <f>""</f>
        <v/>
      </c>
      <c r="CQ36" t="str">
        <f>""</f>
        <v/>
      </c>
      <c r="CR36" t="str">
        <f>""</f>
        <v/>
      </c>
      <c r="CS36" t="str">
        <f>""</f>
        <v/>
      </c>
      <c r="CT36" t="str">
        <f>""</f>
        <v/>
      </c>
      <c r="CU36" t="str">
        <f>""</f>
        <v/>
      </c>
      <c r="CV36" t="str">
        <f>""</f>
        <v/>
      </c>
      <c r="CW36" t="str">
        <f>""</f>
        <v/>
      </c>
      <c r="CX36" t="str">
        <f>""</f>
        <v/>
      </c>
      <c r="CY36" t="str">
        <f>""</f>
        <v/>
      </c>
      <c r="CZ36" t="str">
        <f>""</f>
        <v/>
      </c>
      <c r="DA36" t="str">
        <f>""</f>
        <v/>
      </c>
      <c r="DB36" t="str">
        <f>""</f>
        <v/>
      </c>
      <c r="DC36" t="str">
        <f>""</f>
        <v/>
      </c>
      <c r="DD36" t="str">
        <f>""</f>
        <v/>
      </c>
      <c r="DE36" t="str">
        <f>""</f>
        <v/>
      </c>
      <c r="DF36" t="str">
        <f>""</f>
        <v/>
      </c>
      <c r="DG36" t="str">
        <f>""</f>
        <v/>
      </c>
      <c r="DH36" t="str">
        <f>""</f>
        <v/>
      </c>
      <c r="DI36" t="str">
        <f>""</f>
        <v/>
      </c>
      <c r="DJ36" t="str">
        <f>""</f>
        <v/>
      </c>
      <c r="DK36" t="str">
        <f>""</f>
        <v/>
      </c>
      <c r="DL36" t="str">
        <f>""</f>
        <v/>
      </c>
      <c r="DM36" t="str">
        <f>""</f>
        <v/>
      </c>
      <c r="DN36" t="str">
        <f>""</f>
        <v/>
      </c>
      <c r="DO36" t="str">
        <f>""</f>
        <v/>
      </c>
      <c r="DP36" t="str">
        <f>""</f>
        <v/>
      </c>
      <c r="DQ36" t="str">
        <f>""</f>
        <v/>
      </c>
      <c r="DR36" t="str">
        <f>""</f>
        <v/>
      </c>
      <c r="DS36" t="str">
        <f>""</f>
        <v/>
      </c>
      <c r="DT36" t="str">
        <f>""</f>
        <v/>
      </c>
      <c r="DU36" t="str">
        <f>""</f>
        <v/>
      </c>
    </row>
    <row r="37" spans="1:125" x14ac:dyDescent="0.25">
      <c r="B37" t="str">
        <f>"ECIMEMU Index"</f>
        <v>ECIMEMU Index</v>
      </c>
      <c r="C37" t="str">
        <f>"PR005"</f>
        <v>PR005</v>
      </c>
      <c r="D37" t="str">
        <f>"PX_LAST"</f>
        <v>PX_LAST</v>
      </c>
      <c r="E37" t="str">
        <f>"Dynamic"</f>
        <v>Dynamic</v>
      </c>
      <c r="F37" t="str">
        <f ca="1">_xll.BDH($B$37,$C$37,$B$29,$B$30,CONCATENATE("Per=",$B$27),"Dts=H","Dir=H",CONCATENATE("Points=",$B$28),"Sort=R","Days=A","Fill=B",CONCATENATE("FX=", $B$26),"cols=60;rows=1")</f>
        <v/>
      </c>
      <c r="G37">
        <v>1747415.5</v>
      </c>
      <c r="H37">
        <v>1768102.2</v>
      </c>
      <c r="I37">
        <v>1720837.4</v>
      </c>
      <c r="J37">
        <v>1712116.6</v>
      </c>
      <c r="K37">
        <v>1709561.5</v>
      </c>
      <c r="L37">
        <v>1672044.9</v>
      </c>
      <c r="M37">
        <v>1701970.9</v>
      </c>
      <c r="N37">
        <v>1687043.3</v>
      </c>
      <c r="O37">
        <v>1719093.4</v>
      </c>
      <c r="P37">
        <v>1759751.1</v>
      </c>
      <c r="Q37">
        <v>1832589.6</v>
      </c>
      <c r="R37">
        <v>1876527.9</v>
      </c>
      <c r="S37">
        <v>1782982.7</v>
      </c>
      <c r="T37">
        <v>1654231.8</v>
      </c>
      <c r="U37">
        <v>1560666.9</v>
      </c>
      <c r="V37">
        <v>1419845</v>
      </c>
      <c r="W37">
        <v>1347933.1</v>
      </c>
      <c r="X37">
        <v>1277539.1000000001</v>
      </c>
      <c r="Y37">
        <v>1242565.7</v>
      </c>
      <c r="Z37">
        <v>1165582.1000000001</v>
      </c>
      <c r="AA37">
        <v>1024640.4</v>
      </c>
      <c r="AB37">
        <v>1330876.3</v>
      </c>
      <c r="AC37">
        <v>1377350.4</v>
      </c>
      <c r="AD37">
        <v>1311081.2</v>
      </c>
      <c r="AE37">
        <v>1348416</v>
      </c>
      <c r="AF37">
        <v>1301950.1000000001</v>
      </c>
      <c r="AG37">
        <v>1312247</v>
      </c>
      <c r="AH37">
        <v>1281676</v>
      </c>
      <c r="AI37">
        <v>1251358.3</v>
      </c>
      <c r="AJ37">
        <v>1226755</v>
      </c>
      <c r="AK37">
        <v>1214925</v>
      </c>
      <c r="AL37">
        <v>1181448.8999999999</v>
      </c>
      <c r="AM37">
        <v>1213379</v>
      </c>
      <c r="AN37">
        <v>1164298.7</v>
      </c>
      <c r="AO37">
        <v>1138862.3</v>
      </c>
      <c r="AP37">
        <v>1104478.5</v>
      </c>
      <c r="AQ37">
        <v>1083365.3999999999</v>
      </c>
      <c r="AR37">
        <v>1073220.3</v>
      </c>
      <c r="AS37">
        <v>1089149.3999999999</v>
      </c>
      <c r="AT37">
        <v>1076247.3999999999</v>
      </c>
      <c r="AU37">
        <v>1107291.3</v>
      </c>
      <c r="AV37">
        <v>1054677.8999999999</v>
      </c>
      <c r="AW37">
        <v>1036245.9</v>
      </c>
      <c r="AX37">
        <v>1034039.6</v>
      </c>
      <c r="AY37">
        <v>1017677.7</v>
      </c>
      <c r="AZ37">
        <v>1009189.1</v>
      </c>
      <c r="BA37">
        <v>1006548.4</v>
      </c>
      <c r="BB37">
        <v>1000331.1</v>
      </c>
      <c r="BC37">
        <v>987216.2</v>
      </c>
      <c r="BD37">
        <v>984907.8</v>
      </c>
      <c r="BE37">
        <v>986823.4</v>
      </c>
      <c r="BF37">
        <v>994510.3</v>
      </c>
      <c r="BG37">
        <v>991480.8</v>
      </c>
      <c r="BH37">
        <v>992153.9</v>
      </c>
      <c r="BI37">
        <v>976756</v>
      </c>
      <c r="BJ37">
        <v>983340.9</v>
      </c>
      <c r="BK37">
        <v>980111.9</v>
      </c>
      <c r="BL37">
        <v>971761.1</v>
      </c>
      <c r="BM37">
        <v>928627.9</v>
      </c>
      <c r="BN37" t="str">
        <f>""</f>
        <v/>
      </c>
      <c r="BO37" t="str">
        <f>""</f>
        <v/>
      </c>
      <c r="BP37" t="str">
        <f>""</f>
        <v/>
      </c>
      <c r="BQ37" t="str">
        <f>""</f>
        <v/>
      </c>
      <c r="BR37" t="str">
        <f>""</f>
        <v/>
      </c>
      <c r="BS37" t="str">
        <f>""</f>
        <v/>
      </c>
      <c r="BT37" t="str">
        <f>""</f>
        <v/>
      </c>
      <c r="BU37" t="str">
        <f>""</f>
        <v/>
      </c>
      <c r="BV37" t="str">
        <f>""</f>
        <v/>
      </c>
      <c r="BW37" t="str">
        <f>""</f>
        <v/>
      </c>
      <c r="BX37" t="str">
        <f>""</f>
        <v/>
      </c>
      <c r="BY37" t="str">
        <f>""</f>
        <v/>
      </c>
      <c r="BZ37" t="str">
        <f>""</f>
        <v/>
      </c>
      <c r="CA37" t="str">
        <f>""</f>
        <v/>
      </c>
      <c r="CB37" t="str">
        <f>""</f>
        <v/>
      </c>
      <c r="CC37" t="str">
        <f>""</f>
        <v/>
      </c>
      <c r="CD37" t="str">
        <f>""</f>
        <v/>
      </c>
      <c r="CE37" t="str">
        <f>""</f>
        <v/>
      </c>
      <c r="CF37" t="str">
        <f>""</f>
        <v/>
      </c>
      <c r="CG37" t="str">
        <f>""</f>
        <v/>
      </c>
      <c r="CH37" t="str">
        <f>""</f>
        <v/>
      </c>
      <c r="CI37" t="str">
        <f>""</f>
        <v/>
      </c>
      <c r="CJ37" t="str">
        <f>""</f>
        <v/>
      </c>
      <c r="CK37" t="str">
        <f>""</f>
        <v/>
      </c>
      <c r="CL37" t="str">
        <f>""</f>
        <v/>
      </c>
      <c r="CM37" t="str">
        <f>""</f>
        <v/>
      </c>
      <c r="CN37" t="str">
        <f>""</f>
        <v/>
      </c>
      <c r="CO37" t="str">
        <f>""</f>
        <v/>
      </c>
      <c r="CP37" t="str">
        <f>""</f>
        <v/>
      </c>
      <c r="CQ37" t="str">
        <f>""</f>
        <v/>
      </c>
      <c r="CR37" t="str">
        <f>""</f>
        <v/>
      </c>
      <c r="CS37" t="str">
        <f>""</f>
        <v/>
      </c>
      <c r="CT37" t="str">
        <f>""</f>
        <v/>
      </c>
      <c r="CU37" t="str">
        <f>""</f>
        <v/>
      </c>
      <c r="CV37" t="str">
        <f>""</f>
        <v/>
      </c>
      <c r="CW37" t="str">
        <f>""</f>
        <v/>
      </c>
      <c r="CX37" t="str">
        <f>""</f>
        <v/>
      </c>
      <c r="CY37" t="str">
        <f>""</f>
        <v/>
      </c>
      <c r="CZ37" t="str">
        <f>""</f>
        <v/>
      </c>
      <c r="DA37" t="str">
        <f>""</f>
        <v/>
      </c>
      <c r="DB37" t="str">
        <f>""</f>
        <v/>
      </c>
      <c r="DC37" t="str">
        <f>""</f>
        <v/>
      </c>
      <c r="DD37" t="str">
        <f>""</f>
        <v/>
      </c>
      <c r="DE37" t="str">
        <f>""</f>
        <v/>
      </c>
      <c r="DF37" t="str">
        <f>""</f>
        <v/>
      </c>
      <c r="DG37" t="str">
        <f>""</f>
        <v/>
      </c>
      <c r="DH37" t="str">
        <f>""</f>
        <v/>
      </c>
      <c r="DI37" t="str">
        <f>""</f>
        <v/>
      </c>
      <c r="DJ37" t="str">
        <f>""</f>
        <v/>
      </c>
      <c r="DK37" t="str">
        <f>""</f>
        <v/>
      </c>
      <c r="DL37" t="str">
        <f>""</f>
        <v/>
      </c>
      <c r="DM37" t="str">
        <f>""</f>
        <v/>
      </c>
      <c r="DN37" t="str">
        <f>""</f>
        <v/>
      </c>
      <c r="DO37" t="str">
        <f>""</f>
        <v/>
      </c>
      <c r="DP37" t="str">
        <f>""</f>
        <v/>
      </c>
      <c r="DQ37" t="str">
        <f>""</f>
        <v/>
      </c>
      <c r="DR37" t="str">
        <f>""</f>
        <v/>
      </c>
      <c r="DS37" t="str">
        <f>""</f>
        <v/>
      </c>
      <c r="DT37" t="str">
        <f>""</f>
        <v/>
      </c>
      <c r="DU37" t="str">
        <f>""</f>
        <v/>
      </c>
    </row>
    <row r="38" spans="1:125" x14ac:dyDescent="0.25">
      <c r="A38" t="str">
        <f>$A$3</f>
        <v>North America (Bil.) - US (USD)</v>
      </c>
      <c r="B38" t="str">
        <f>$B$3</f>
        <v>GDP CUR$ Index</v>
      </c>
      <c r="C38" t="str">
        <f>$C$3</f>
        <v>PR005</v>
      </c>
      <c r="D38" t="str">
        <f>$D$3</f>
        <v>PX_LAST</v>
      </c>
      <c r="E38" t="str">
        <f>$E$3</f>
        <v>Dynamic</v>
      </c>
      <c r="F38" t="str">
        <f ca="1">_xll.BDH($B$3,$C$3,$B$29,$B$30,CONCATENATE("Per=",$B$27),"Dts=H","Dir=H",CONCATENATE("Points=",$B$28),"Sort=R","Days=A","Fill=B",CONCATENATE("FX=", $B$26),"cols=60;rows=1")</f>
        <v/>
      </c>
      <c r="G38">
        <v>30485.73</v>
      </c>
      <c r="H38">
        <v>30042.11</v>
      </c>
      <c r="I38">
        <v>29825.18</v>
      </c>
      <c r="J38">
        <v>29511.66</v>
      </c>
      <c r="K38">
        <v>29147.040000000001</v>
      </c>
      <c r="L38">
        <v>28708.16</v>
      </c>
      <c r="M38">
        <v>28424.720000000001</v>
      </c>
      <c r="N38">
        <v>28074.85</v>
      </c>
      <c r="O38">
        <v>27530.06</v>
      </c>
      <c r="P38">
        <v>27216.45</v>
      </c>
      <c r="Q38">
        <v>26770.51</v>
      </c>
      <c r="R38">
        <v>26336.3</v>
      </c>
      <c r="S38">
        <v>25861.29</v>
      </c>
      <c r="T38">
        <v>25250.35</v>
      </c>
      <c r="U38">
        <v>24813.599999999999</v>
      </c>
      <c r="V38">
        <v>23982.38</v>
      </c>
      <c r="W38">
        <v>23425.91</v>
      </c>
      <c r="X38">
        <v>22680.69</v>
      </c>
      <c r="Y38">
        <v>22087.16</v>
      </c>
      <c r="Z38">
        <v>21704.44</v>
      </c>
      <c r="AA38">
        <v>19958.29</v>
      </c>
      <c r="AB38">
        <v>21751.24</v>
      </c>
      <c r="AC38">
        <v>21933.22</v>
      </c>
      <c r="AD38">
        <v>21717.17</v>
      </c>
      <c r="AE38">
        <v>21397.94</v>
      </c>
      <c r="AF38">
        <v>21111.599999999999</v>
      </c>
      <c r="AG38">
        <v>20917.87</v>
      </c>
      <c r="AH38">
        <v>20798.73</v>
      </c>
      <c r="AI38">
        <v>20580.91</v>
      </c>
      <c r="AJ38">
        <v>20328.55</v>
      </c>
      <c r="AK38">
        <v>20037.09</v>
      </c>
      <c r="AL38">
        <v>19692.599999999999</v>
      </c>
      <c r="AM38">
        <v>19438.64</v>
      </c>
      <c r="AN38">
        <v>19280.080000000002</v>
      </c>
      <c r="AO38">
        <v>19089.38</v>
      </c>
      <c r="AP38">
        <v>18892.64</v>
      </c>
      <c r="AQ38">
        <v>18711.7</v>
      </c>
      <c r="AR38">
        <v>18525.93</v>
      </c>
      <c r="AS38">
        <v>18435.14</v>
      </c>
      <c r="AT38">
        <v>18401.63</v>
      </c>
      <c r="AU38">
        <v>18279.78</v>
      </c>
      <c r="AV38">
        <v>18063.53</v>
      </c>
      <c r="AW38">
        <v>17912.080000000002</v>
      </c>
      <c r="AX38">
        <v>17804.23</v>
      </c>
      <c r="AY38">
        <v>17518.509999999998</v>
      </c>
      <c r="AZ38">
        <v>17197.740000000002</v>
      </c>
      <c r="BA38">
        <v>17192.02</v>
      </c>
      <c r="BB38">
        <v>16953.84</v>
      </c>
      <c r="BC38">
        <v>16728.689999999999</v>
      </c>
      <c r="BD38">
        <v>16648.189999999999</v>
      </c>
      <c r="BE38">
        <v>16420.419999999998</v>
      </c>
      <c r="BF38">
        <v>16319.54</v>
      </c>
      <c r="BG38">
        <v>16207.12</v>
      </c>
      <c r="BH38">
        <v>16068.81</v>
      </c>
      <c r="BI38">
        <v>15842.26</v>
      </c>
      <c r="BJ38">
        <v>15647.68</v>
      </c>
      <c r="BK38">
        <v>15557.54</v>
      </c>
      <c r="BL38">
        <v>15351.45</v>
      </c>
      <c r="BM38">
        <v>15309.47</v>
      </c>
      <c r="BN38" t="str">
        <f>""</f>
        <v/>
      </c>
      <c r="BO38" t="str">
        <f>""</f>
        <v/>
      </c>
      <c r="BP38" t="str">
        <f>""</f>
        <v/>
      </c>
      <c r="BQ38" t="str">
        <f>""</f>
        <v/>
      </c>
      <c r="BR38" t="str">
        <f>""</f>
        <v/>
      </c>
      <c r="BS38" t="str">
        <f>""</f>
        <v/>
      </c>
      <c r="BT38" t="str">
        <f>""</f>
        <v/>
      </c>
      <c r="BU38" t="str">
        <f>""</f>
        <v/>
      </c>
      <c r="BV38" t="str">
        <f>""</f>
        <v/>
      </c>
      <c r="BW38" t="str">
        <f>""</f>
        <v/>
      </c>
      <c r="BX38" t="str">
        <f>""</f>
        <v/>
      </c>
      <c r="BY38" t="str">
        <f>""</f>
        <v/>
      </c>
      <c r="BZ38" t="str">
        <f>""</f>
        <v/>
      </c>
      <c r="CA38" t="str">
        <f>""</f>
        <v/>
      </c>
      <c r="CB38" t="str">
        <f>""</f>
        <v/>
      </c>
      <c r="CC38" t="str">
        <f>""</f>
        <v/>
      </c>
      <c r="CD38" t="str">
        <f>""</f>
        <v/>
      </c>
      <c r="CE38" t="str">
        <f>""</f>
        <v/>
      </c>
      <c r="CF38" t="str">
        <f>""</f>
        <v/>
      </c>
      <c r="CG38" t="str">
        <f>""</f>
        <v/>
      </c>
      <c r="CH38" t="str">
        <f>""</f>
        <v/>
      </c>
      <c r="CI38" t="str">
        <f>""</f>
        <v/>
      </c>
      <c r="CJ38" t="str">
        <f>""</f>
        <v/>
      </c>
      <c r="CK38" t="str">
        <f>""</f>
        <v/>
      </c>
      <c r="CL38" t="str">
        <f>""</f>
        <v/>
      </c>
      <c r="CM38" t="str">
        <f>""</f>
        <v/>
      </c>
      <c r="CN38" t="str">
        <f>""</f>
        <v/>
      </c>
      <c r="CO38" t="str">
        <f>""</f>
        <v/>
      </c>
      <c r="CP38" t="str">
        <f>""</f>
        <v/>
      </c>
      <c r="CQ38" t="str">
        <f>""</f>
        <v/>
      </c>
      <c r="CR38" t="str">
        <f>""</f>
        <v/>
      </c>
      <c r="CS38" t="str">
        <f>""</f>
        <v/>
      </c>
      <c r="CT38" t="str">
        <f>""</f>
        <v/>
      </c>
      <c r="CU38" t="str">
        <f>""</f>
        <v/>
      </c>
      <c r="CV38" t="str">
        <f>""</f>
        <v/>
      </c>
      <c r="CW38" t="str">
        <f>""</f>
        <v/>
      </c>
      <c r="CX38" t="str">
        <f>""</f>
        <v/>
      </c>
      <c r="CY38" t="str">
        <f>""</f>
        <v/>
      </c>
      <c r="CZ38" t="str">
        <f>""</f>
        <v/>
      </c>
      <c r="DA38" t="str">
        <f>""</f>
        <v/>
      </c>
      <c r="DB38" t="str">
        <f>""</f>
        <v/>
      </c>
      <c r="DC38" t="str">
        <f>""</f>
        <v/>
      </c>
      <c r="DD38" t="str">
        <f>""</f>
        <v/>
      </c>
      <c r="DE38" t="str">
        <f>""</f>
        <v/>
      </c>
      <c r="DF38" t="str">
        <f>""</f>
        <v/>
      </c>
      <c r="DG38" t="str">
        <f>""</f>
        <v/>
      </c>
      <c r="DH38" t="str">
        <f>""</f>
        <v/>
      </c>
      <c r="DI38" t="str">
        <f>""</f>
        <v/>
      </c>
      <c r="DJ38" t="str">
        <f>""</f>
        <v/>
      </c>
      <c r="DK38" t="str">
        <f>""</f>
        <v/>
      </c>
      <c r="DL38" t="str">
        <f>""</f>
        <v/>
      </c>
      <c r="DM38" t="str">
        <f>""</f>
        <v/>
      </c>
      <c r="DN38" t="str">
        <f>""</f>
        <v/>
      </c>
      <c r="DO38" t="str">
        <f>""</f>
        <v/>
      </c>
      <c r="DP38" t="str">
        <f>""</f>
        <v/>
      </c>
      <c r="DQ38" t="str">
        <f>""</f>
        <v/>
      </c>
      <c r="DR38" t="str">
        <f>""</f>
        <v/>
      </c>
      <c r="DS38" t="str">
        <f>""</f>
        <v/>
      </c>
      <c r="DT38" t="str">
        <f>""</f>
        <v/>
      </c>
      <c r="DU38" t="str">
        <f>""</f>
        <v/>
      </c>
    </row>
    <row r="39" spans="1:125" x14ac:dyDescent="0.25">
      <c r="A39" t="str">
        <f>$A$4</f>
        <v xml:space="preserve">        Personal Consumption Expenditures</v>
      </c>
      <c r="B39" t="str">
        <f>$B$4</f>
        <v>GDP$PCE Index</v>
      </c>
      <c r="C39" t="str">
        <f>$C$4</f>
        <v>PR005</v>
      </c>
      <c r="D39" t="str">
        <f>$D$4</f>
        <v>PX_LAST</v>
      </c>
      <c r="E39" t="str">
        <f>$E$4</f>
        <v>Dynamic</v>
      </c>
      <c r="F39" t="str">
        <f ca="1">_xll.BDH($B$4,$C$4,$B$29,$B$30,CONCATENATE("Per=",$B$27),"Dts=H","Dir=H",CONCATENATE("Points=",$B$28),"Sort=R","Days=A","Fill=B",CONCATENATE("FX=", $B$26),"cols=60;rows=1")</f>
        <v/>
      </c>
      <c r="G39">
        <v>20789.900000000001</v>
      </c>
      <c r="H39">
        <v>20555</v>
      </c>
      <c r="I39">
        <v>20351.3</v>
      </c>
      <c r="J39">
        <v>20032.8</v>
      </c>
      <c r="K39">
        <v>19756.099999999999</v>
      </c>
      <c r="L39">
        <v>19443.8</v>
      </c>
      <c r="M39">
        <v>19190.599999999999</v>
      </c>
      <c r="N39">
        <v>18961.8</v>
      </c>
      <c r="O39">
        <v>18693.099999999999</v>
      </c>
      <c r="P39">
        <v>18487</v>
      </c>
      <c r="Q39">
        <v>18111.400000000001</v>
      </c>
      <c r="R39">
        <v>17893.099999999999</v>
      </c>
      <c r="S39">
        <v>17606.599999999999</v>
      </c>
      <c r="T39">
        <v>17149</v>
      </c>
      <c r="U39">
        <v>16815</v>
      </c>
      <c r="V39">
        <v>16380.7</v>
      </c>
      <c r="W39">
        <v>16027.6</v>
      </c>
      <c r="X39">
        <v>15255.4</v>
      </c>
      <c r="Y39">
        <v>14749.8</v>
      </c>
      <c r="Z39">
        <v>14479.2</v>
      </c>
      <c r="AA39">
        <v>13193.3</v>
      </c>
      <c r="AB39">
        <v>14503.1</v>
      </c>
      <c r="AC39">
        <v>14701</v>
      </c>
      <c r="AD39">
        <v>14548.3</v>
      </c>
      <c r="AE39">
        <v>14350.7</v>
      </c>
      <c r="AF39">
        <v>14150.2</v>
      </c>
      <c r="AG39">
        <v>14099.2</v>
      </c>
      <c r="AH39">
        <v>14002.2</v>
      </c>
      <c r="AI39">
        <v>13891.3</v>
      </c>
      <c r="AJ39">
        <v>13745.1</v>
      </c>
      <c r="AK39">
        <v>13551.4</v>
      </c>
      <c r="AL39">
        <v>13325.1</v>
      </c>
      <c r="AM39">
        <v>13188.7</v>
      </c>
      <c r="AN39">
        <v>13097.3</v>
      </c>
      <c r="AO39">
        <v>12922</v>
      </c>
      <c r="AP39">
        <v>12797.1</v>
      </c>
      <c r="AQ39">
        <v>12665.1</v>
      </c>
      <c r="AR39">
        <v>12523.2</v>
      </c>
      <c r="AS39">
        <v>12423.4</v>
      </c>
      <c r="AT39">
        <v>12382.5</v>
      </c>
      <c r="AU39">
        <v>12264.1</v>
      </c>
      <c r="AV39">
        <v>12119.8</v>
      </c>
      <c r="AW39">
        <v>12081.6</v>
      </c>
      <c r="AX39">
        <v>11959.8</v>
      </c>
      <c r="AY39">
        <v>11810.5</v>
      </c>
      <c r="AZ39">
        <v>11646</v>
      </c>
      <c r="BA39">
        <v>11551.2</v>
      </c>
      <c r="BB39">
        <v>11408.4</v>
      </c>
      <c r="BC39">
        <v>11315.7</v>
      </c>
      <c r="BD39">
        <v>11277.7</v>
      </c>
      <c r="BE39">
        <v>11165.7</v>
      </c>
      <c r="BF39">
        <v>11059.4</v>
      </c>
      <c r="BG39">
        <v>11005.1</v>
      </c>
      <c r="BH39">
        <v>10959.3</v>
      </c>
      <c r="BI39">
        <v>10809.2</v>
      </c>
      <c r="BJ39">
        <v>10755</v>
      </c>
      <c r="BK39">
        <v>10673</v>
      </c>
      <c r="BL39">
        <v>10558.2</v>
      </c>
      <c r="BM39">
        <v>10430.299999999999</v>
      </c>
      <c r="BN39" t="str">
        <f>""</f>
        <v/>
      </c>
      <c r="BO39" t="str">
        <f>""</f>
        <v/>
      </c>
      <c r="BP39" t="str">
        <f>""</f>
        <v/>
      </c>
      <c r="BQ39" t="str">
        <f>""</f>
        <v/>
      </c>
      <c r="BR39" t="str">
        <f>""</f>
        <v/>
      </c>
      <c r="BS39" t="str">
        <f>""</f>
        <v/>
      </c>
      <c r="BT39" t="str">
        <f>""</f>
        <v/>
      </c>
      <c r="BU39" t="str">
        <f>""</f>
        <v/>
      </c>
      <c r="BV39" t="str">
        <f>""</f>
        <v/>
      </c>
      <c r="BW39" t="str">
        <f>""</f>
        <v/>
      </c>
      <c r="BX39" t="str">
        <f>""</f>
        <v/>
      </c>
      <c r="BY39" t="str">
        <f>""</f>
        <v/>
      </c>
      <c r="BZ39" t="str">
        <f>""</f>
        <v/>
      </c>
      <c r="CA39" t="str">
        <f>""</f>
        <v/>
      </c>
      <c r="CB39" t="str">
        <f>""</f>
        <v/>
      </c>
      <c r="CC39" t="str">
        <f>""</f>
        <v/>
      </c>
      <c r="CD39" t="str">
        <f>""</f>
        <v/>
      </c>
      <c r="CE39" t="str">
        <f>""</f>
        <v/>
      </c>
      <c r="CF39" t="str">
        <f>""</f>
        <v/>
      </c>
      <c r="CG39" t="str">
        <f>""</f>
        <v/>
      </c>
      <c r="CH39" t="str">
        <f>""</f>
        <v/>
      </c>
      <c r="CI39" t="str">
        <f>""</f>
        <v/>
      </c>
      <c r="CJ39" t="str">
        <f>""</f>
        <v/>
      </c>
      <c r="CK39" t="str">
        <f>""</f>
        <v/>
      </c>
      <c r="CL39" t="str">
        <f>""</f>
        <v/>
      </c>
      <c r="CM39" t="str">
        <f>""</f>
        <v/>
      </c>
      <c r="CN39" t="str">
        <f>""</f>
        <v/>
      </c>
      <c r="CO39" t="str">
        <f>""</f>
        <v/>
      </c>
      <c r="CP39" t="str">
        <f>""</f>
        <v/>
      </c>
      <c r="CQ39" t="str">
        <f>""</f>
        <v/>
      </c>
      <c r="CR39" t="str">
        <f>""</f>
        <v/>
      </c>
      <c r="CS39" t="str">
        <f>""</f>
        <v/>
      </c>
      <c r="CT39" t="str">
        <f>""</f>
        <v/>
      </c>
      <c r="CU39" t="str">
        <f>""</f>
        <v/>
      </c>
      <c r="CV39" t="str">
        <f>""</f>
        <v/>
      </c>
      <c r="CW39" t="str">
        <f>""</f>
        <v/>
      </c>
      <c r="CX39" t="str">
        <f>""</f>
        <v/>
      </c>
      <c r="CY39" t="str">
        <f>""</f>
        <v/>
      </c>
      <c r="CZ39" t="str">
        <f>""</f>
        <v/>
      </c>
      <c r="DA39" t="str">
        <f>""</f>
        <v/>
      </c>
      <c r="DB39" t="str">
        <f>""</f>
        <v/>
      </c>
      <c r="DC39" t="str">
        <f>""</f>
        <v/>
      </c>
      <c r="DD39" t="str">
        <f>""</f>
        <v/>
      </c>
      <c r="DE39" t="str">
        <f>""</f>
        <v/>
      </c>
      <c r="DF39" t="str">
        <f>""</f>
        <v/>
      </c>
      <c r="DG39" t="str">
        <f>""</f>
        <v/>
      </c>
      <c r="DH39" t="str">
        <f>""</f>
        <v/>
      </c>
      <c r="DI39" t="str">
        <f>""</f>
        <v/>
      </c>
      <c r="DJ39" t="str">
        <f>""</f>
        <v/>
      </c>
      <c r="DK39" t="str">
        <f>""</f>
        <v/>
      </c>
      <c r="DL39" t="str">
        <f>""</f>
        <v/>
      </c>
      <c r="DM39" t="str">
        <f>""</f>
        <v/>
      </c>
      <c r="DN39" t="str">
        <f>""</f>
        <v/>
      </c>
      <c r="DO39" t="str">
        <f>""</f>
        <v/>
      </c>
      <c r="DP39" t="str">
        <f>""</f>
        <v/>
      </c>
      <c r="DQ39" t="str">
        <f>""</f>
        <v/>
      </c>
      <c r="DR39" t="str">
        <f>""</f>
        <v/>
      </c>
      <c r="DS39" t="str">
        <f>""</f>
        <v/>
      </c>
      <c r="DT39" t="str">
        <f>""</f>
        <v/>
      </c>
      <c r="DU39" t="str">
        <f>""</f>
        <v/>
      </c>
    </row>
    <row r="40" spans="1:125" x14ac:dyDescent="0.25">
      <c r="A40" t="str">
        <f>$A$5</f>
        <v xml:space="preserve">        Fixed Investment</v>
      </c>
      <c r="B40" t="str">
        <f>$B$5</f>
        <v>GPDIFXIN Index</v>
      </c>
      <c r="C40" t="str">
        <f>$C$5</f>
        <v>PR005</v>
      </c>
      <c r="D40" t="str">
        <f>$D$5</f>
        <v>PX_LAST</v>
      </c>
      <c r="E40" t="str">
        <f>$E$5</f>
        <v>Dynamic</v>
      </c>
      <c r="F40" t="str">
        <f ca="1">_xll.BDH($B$5,$C$5,$B$29,$B$30,CONCATENATE("Per=",$B$27),"Dts=H","Dir=H",CONCATENATE("Points=",$B$28),"Sort=R","Days=A","Fill=B",CONCATENATE("FX=", $B$26),"cols=60;rows=1")</f>
        <v/>
      </c>
      <c r="G40">
        <v>5404.42</v>
      </c>
      <c r="H40">
        <v>5344.02</v>
      </c>
      <c r="I40">
        <v>5244.04</v>
      </c>
      <c r="J40">
        <v>5246.99</v>
      </c>
      <c r="K40">
        <v>5192.51</v>
      </c>
      <c r="L40">
        <v>5139.5600000000004</v>
      </c>
      <c r="M40">
        <v>5092.28</v>
      </c>
      <c r="N40">
        <v>5006.33</v>
      </c>
      <c r="O40">
        <v>4943.47</v>
      </c>
      <c r="P40">
        <v>4837.93</v>
      </c>
      <c r="Q40">
        <v>4747.59</v>
      </c>
      <c r="R40">
        <v>4712.74</v>
      </c>
      <c r="S40">
        <v>4660.92</v>
      </c>
      <c r="T40">
        <v>4531.13</v>
      </c>
      <c r="U40">
        <v>4360.53</v>
      </c>
      <c r="V40">
        <v>4243.7700000000004</v>
      </c>
      <c r="W40">
        <v>4189.22</v>
      </c>
      <c r="X40">
        <v>4085.18</v>
      </c>
      <c r="Y40">
        <v>3976.03</v>
      </c>
      <c r="Z40">
        <v>3803.32</v>
      </c>
      <c r="AA40">
        <v>3553.28</v>
      </c>
      <c r="AB40">
        <v>3842.81</v>
      </c>
      <c r="AC40">
        <v>3857.12</v>
      </c>
      <c r="AD40">
        <v>3869.37</v>
      </c>
      <c r="AE40">
        <v>3820.79</v>
      </c>
      <c r="AF40">
        <v>3735.85</v>
      </c>
      <c r="AG40">
        <v>3706.7</v>
      </c>
      <c r="AH40">
        <v>3690.03</v>
      </c>
      <c r="AI40">
        <v>3666.13</v>
      </c>
      <c r="AJ40">
        <v>3610.59</v>
      </c>
      <c r="AK40">
        <v>3530.45</v>
      </c>
      <c r="AL40">
        <v>3445.28</v>
      </c>
      <c r="AM40">
        <v>3407.44</v>
      </c>
      <c r="AN40">
        <v>3356.79</v>
      </c>
      <c r="AO40">
        <v>3302.81</v>
      </c>
      <c r="AP40">
        <v>3256.25</v>
      </c>
      <c r="AQ40">
        <v>3215.9</v>
      </c>
      <c r="AR40">
        <v>3182</v>
      </c>
      <c r="AS40">
        <v>3169.73</v>
      </c>
      <c r="AT40">
        <v>3176.81</v>
      </c>
      <c r="AU40">
        <v>3139.86</v>
      </c>
      <c r="AV40">
        <v>3107.04</v>
      </c>
      <c r="AW40">
        <v>3086.53</v>
      </c>
      <c r="AX40">
        <v>3038.11</v>
      </c>
      <c r="AY40">
        <v>2961.34</v>
      </c>
      <c r="AZ40">
        <v>2870.77</v>
      </c>
      <c r="BA40">
        <v>2816.95</v>
      </c>
      <c r="BB40">
        <v>2755.71</v>
      </c>
      <c r="BC40">
        <v>2697.55</v>
      </c>
      <c r="BD40">
        <v>2661.2</v>
      </c>
      <c r="BE40">
        <v>2609.5500000000002</v>
      </c>
      <c r="BF40">
        <v>2559.69</v>
      </c>
      <c r="BG40">
        <v>2545.46</v>
      </c>
      <c r="BH40">
        <v>2487.4699999999998</v>
      </c>
      <c r="BI40">
        <v>2400.14</v>
      </c>
      <c r="BJ40">
        <v>2334.87</v>
      </c>
      <c r="BK40">
        <v>2236.3000000000002</v>
      </c>
      <c r="BL40">
        <v>2173.89</v>
      </c>
      <c r="BM40">
        <v>2171.14</v>
      </c>
      <c r="BN40" t="str">
        <f>""</f>
        <v/>
      </c>
      <c r="BO40" t="str">
        <f>""</f>
        <v/>
      </c>
      <c r="BP40" t="str">
        <f>""</f>
        <v/>
      </c>
      <c r="BQ40" t="str">
        <f>""</f>
        <v/>
      </c>
      <c r="BR40" t="str">
        <f>""</f>
        <v/>
      </c>
      <c r="BS40" t="str">
        <f>""</f>
        <v/>
      </c>
      <c r="BT40" t="str">
        <f>""</f>
        <v/>
      </c>
      <c r="BU40" t="str">
        <f>""</f>
        <v/>
      </c>
      <c r="BV40" t="str">
        <f>""</f>
        <v/>
      </c>
      <c r="BW40" t="str">
        <f>""</f>
        <v/>
      </c>
      <c r="BX40" t="str">
        <f>""</f>
        <v/>
      </c>
      <c r="BY40" t="str">
        <f>""</f>
        <v/>
      </c>
      <c r="BZ40" t="str">
        <f>""</f>
        <v/>
      </c>
      <c r="CA40" t="str">
        <f>""</f>
        <v/>
      </c>
      <c r="CB40" t="str">
        <f>""</f>
        <v/>
      </c>
      <c r="CC40" t="str">
        <f>""</f>
        <v/>
      </c>
      <c r="CD40" t="str">
        <f>""</f>
        <v/>
      </c>
      <c r="CE40" t="str">
        <f>""</f>
        <v/>
      </c>
      <c r="CF40" t="str">
        <f>""</f>
        <v/>
      </c>
      <c r="CG40" t="str">
        <f>""</f>
        <v/>
      </c>
      <c r="CH40" t="str">
        <f>""</f>
        <v/>
      </c>
      <c r="CI40" t="str">
        <f>""</f>
        <v/>
      </c>
      <c r="CJ40" t="str">
        <f>""</f>
        <v/>
      </c>
      <c r="CK40" t="str">
        <f>""</f>
        <v/>
      </c>
      <c r="CL40" t="str">
        <f>""</f>
        <v/>
      </c>
      <c r="CM40" t="str">
        <f>""</f>
        <v/>
      </c>
      <c r="CN40" t="str">
        <f>""</f>
        <v/>
      </c>
      <c r="CO40" t="str">
        <f>""</f>
        <v/>
      </c>
      <c r="CP40" t="str">
        <f>""</f>
        <v/>
      </c>
      <c r="CQ40" t="str">
        <f>""</f>
        <v/>
      </c>
      <c r="CR40" t="str">
        <f>""</f>
        <v/>
      </c>
      <c r="CS40" t="str">
        <f>""</f>
        <v/>
      </c>
      <c r="CT40" t="str">
        <f>""</f>
        <v/>
      </c>
      <c r="CU40" t="str">
        <f>""</f>
        <v/>
      </c>
      <c r="CV40" t="str">
        <f>""</f>
        <v/>
      </c>
      <c r="CW40" t="str">
        <f>""</f>
        <v/>
      </c>
      <c r="CX40" t="str">
        <f>""</f>
        <v/>
      </c>
      <c r="CY40" t="str">
        <f>""</f>
        <v/>
      </c>
      <c r="CZ40" t="str">
        <f>""</f>
        <v/>
      </c>
      <c r="DA40" t="str">
        <f>""</f>
        <v/>
      </c>
      <c r="DB40" t="str">
        <f>""</f>
        <v/>
      </c>
      <c r="DC40" t="str">
        <f>""</f>
        <v/>
      </c>
      <c r="DD40" t="str">
        <f>""</f>
        <v/>
      </c>
      <c r="DE40" t="str">
        <f>""</f>
        <v/>
      </c>
      <c r="DF40" t="str">
        <f>""</f>
        <v/>
      </c>
      <c r="DG40" t="str">
        <f>""</f>
        <v/>
      </c>
      <c r="DH40" t="str">
        <f>""</f>
        <v/>
      </c>
      <c r="DI40" t="str">
        <f>""</f>
        <v/>
      </c>
      <c r="DJ40" t="str">
        <f>""</f>
        <v/>
      </c>
      <c r="DK40" t="str">
        <f>""</f>
        <v/>
      </c>
      <c r="DL40" t="str">
        <f>""</f>
        <v/>
      </c>
      <c r="DM40" t="str">
        <f>""</f>
        <v/>
      </c>
      <c r="DN40" t="str">
        <f>""</f>
        <v/>
      </c>
      <c r="DO40" t="str">
        <f>""</f>
        <v/>
      </c>
      <c r="DP40" t="str">
        <f>""</f>
        <v/>
      </c>
      <c r="DQ40" t="str">
        <f>""</f>
        <v/>
      </c>
      <c r="DR40" t="str">
        <f>""</f>
        <v/>
      </c>
      <c r="DS40" t="str">
        <f>""</f>
        <v/>
      </c>
      <c r="DT40" t="str">
        <f>""</f>
        <v/>
      </c>
      <c r="DU40" t="str">
        <f>""</f>
        <v/>
      </c>
    </row>
    <row r="41" spans="1:125" x14ac:dyDescent="0.25">
      <c r="A41" t="str">
        <f>$A$6</f>
        <v xml:space="preserve">        Change in Private Inventories</v>
      </c>
      <c r="B41" t="str">
        <f>$B$6</f>
        <v>GDP$PICG Index</v>
      </c>
      <c r="C41" t="str">
        <f>$C$6</f>
        <v>PR005</v>
      </c>
      <c r="D41" t="str">
        <f>$D$6</f>
        <v>PX_LAST</v>
      </c>
      <c r="E41" t="str">
        <f>$E$6</f>
        <v>Dynamic</v>
      </c>
      <c r="F41" t="str">
        <f ca="1">_xll.BDH($B$6,$C$6,$B$29,$B$30,CONCATENATE("Per=",$B$27),"Dts=H","Dir=H",CONCATENATE("Points=",$B$28),"Sort=R","Days=A","Fill=B",CONCATENATE("FX=", $B$26),"cols=60;rows=1")</f>
        <v/>
      </c>
      <c r="G41">
        <v>-45.8</v>
      </c>
      <c r="H41">
        <v>212.2</v>
      </c>
      <c r="I41">
        <v>17.8</v>
      </c>
      <c r="J41">
        <v>83.3</v>
      </c>
      <c r="K41">
        <v>97.7</v>
      </c>
      <c r="L41">
        <v>15.5</v>
      </c>
      <c r="M41">
        <v>68.900000000000006</v>
      </c>
      <c r="N41">
        <v>82.5</v>
      </c>
      <c r="O41">
        <v>17.600000000000001</v>
      </c>
      <c r="P41">
        <v>45.9</v>
      </c>
      <c r="Q41">
        <v>191.6</v>
      </c>
      <c r="R41">
        <v>99.6</v>
      </c>
      <c r="S41">
        <v>150.6</v>
      </c>
      <c r="T41">
        <v>283.2</v>
      </c>
      <c r="U41">
        <v>261.8</v>
      </c>
      <c r="V41">
        <v>11.5</v>
      </c>
      <c r="W41">
        <v>-139.5</v>
      </c>
      <c r="X41">
        <v>-26.2</v>
      </c>
      <c r="Y41">
        <v>88.6</v>
      </c>
      <c r="Z41">
        <v>107.7</v>
      </c>
      <c r="AA41">
        <v>-283.10000000000002</v>
      </c>
      <c r="AB41">
        <v>-35.1</v>
      </c>
      <c r="AC41">
        <v>23.5</v>
      </c>
      <c r="AD41">
        <v>70.2</v>
      </c>
      <c r="AE41">
        <v>83.2</v>
      </c>
      <c r="AF41">
        <v>114.9</v>
      </c>
      <c r="AG41">
        <v>95.3</v>
      </c>
      <c r="AH41">
        <v>98.7</v>
      </c>
      <c r="AI41">
        <v>-3.4</v>
      </c>
      <c r="AJ41">
        <v>35</v>
      </c>
      <c r="AK41">
        <v>44</v>
      </c>
      <c r="AL41">
        <v>54.9</v>
      </c>
      <c r="AM41">
        <v>25.5</v>
      </c>
      <c r="AN41">
        <v>6.3</v>
      </c>
      <c r="AO41">
        <v>58.1</v>
      </c>
      <c r="AP41">
        <v>5.3</v>
      </c>
      <c r="AQ41">
        <v>30.5</v>
      </c>
      <c r="AR41">
        <v>62.3</v>
      </c>
      <c r="AS41">
        <v>107.2</v>
      </c>
      <c r="AT41">
        <v>126.9</v>
      </c>
      <c r="AU41">
        <v>151.19999999999999</v>
      </c>
      <c r="AV41">
        <v>175.2</v>
      </c>
      <c r="AW41">
        <v>85.5</v>
      </c>
      <c r="AX41">
        <v>103.9</v>
      </c>
      <c r="AY41">
        <v>97.8</v>
      </c>
      <c r="AZ41">
        <v>52</v>
      </c>
      <c r="BA41">
        <v>117.3</v>
      </c>
      <c r="BB41">
        <v>136.6</v>
      </c>
      <c r="BC41">
        <v>82.7</v>
      </c>
      <c r="BD41">
        <v>85.2</v>
      </c>
      <c r="BE41">
        <v>28.7</v>
      </c>
      <c r="BF41">
        <v>84.4</v>
      </c>
      <c r="BG41">
        <v>91.4</v>
      </c>
      <c r="BH41">
        <v>80.3</v>
      </c>
      <c r="BI41">
        <v>104</v>
      </c>
      <c r="BJ41">
        <v>-12</v>
      </c>
      <c r="BK41">
        <v>61</v>
      </c>
      <c r="BL41">
        <v>32.1</v>
      </c>
      <c r="BM41">
        <v>67.3</v>
      </c>
      <c r="BN41" t="str">
        <f>""</f>
        <v/>
      </c>
      <c r="BO41" t="str">
        <f>""</f>
        <v/>
      </c>
      <c r="BP41" t="str">
        <f>""</f>
        <v/>
      </c>
      <c r="BQ41" t="str">
        <f>""</f>
        <v/>
      </c>
      <c r="BR41" t="str">
        <f>""</f>
        <v/>
      </c>
      <c r="BS41" t="str">
        <f>""</f>
        <v/>
      </c>
      <c r="BT41" t="str">
        <f>""</f>
        <v/>
      </c>
      <c r="BU41" t="str">
        <f>""</f>
        <v/>
      </c>
      <c r="BV41" t="str">
        <f>""</f>
        <v/>
      </c>
      <c r="BW41" t="str">
        <f>""</f>
        <v/>
      </c>
      <c r="BX41" t="str">
        <f>""</f>
        <v/>
      </c>
      <c r="BY41" t="str">
        <f>""</f>
        <v/>
      </c>
      <c r="BZ41" t="str">
        <f>""</f>
        <v/>
      </c>
      <c r="CA41" t="str">
        <f>""</f>
        <v/>
      </c>
      <c r="CB41" t="str">
        <f>""</f>
        <v/>
      </c>
      <c r="CC41" t="str">
        <f>""</f>
        <v/>
      </c>
      <c r="CD41" t="str">
        <f>""</f>
        <v/>
      </c>
      <c r="CE41" t="str">
        <f>""</f>
        <v/>
      </c>
      <c r="CF41" t="str">
        <f>""</f>
        <v/>
      </c>
      <c r="CG41" t="str">
        <f>""</f>
        <v/>
      </c>
      <c r="CH41" t="str">
        <f>""</f>
        <v/>
      </c>
      <c r="CI41" t="str">
        <f>""</f>
        <v/>
      </c>
      <c r="CJ41" t="str">
        <f>""</f>
        <v/>
      </c>
      <c r="CK41" t="str">
        <f>""</f>
        <v/>
      </c>
      <c r="CL41" t="str">
        <f>""</f>
        <v/>
      </c>
      <c r="CM41" t="str">
        <f>""</f>
        <v/>
      </c>
      <c r="CN41" t="str">
        <f>""</f>
        <v/>
      </c>
      <c r="CO41" t="str">
        <f>""</f>
        <v/>
      </c>
      <c r="CP41" t="str">
        <f>""</f>
        <v/>
      </c>
      <c r="CQ41" t="str">
        <f>""</f>
        <v/>
      </c>
      <c r="CR41" t="str">
        <f>""</f>
        <v/>
      </c>
      <c r="CS41" t="str">
        <f>""</f>
        <v/>
      </c>
      <c r="CT41" t="str">
        <f>""</f>
        <v/>
      </c>
      <c r="CU41" t="str">
        <f>""</f>
        <v/>
      </c>
      <c r="CV41" t="str">
        <f>""</f>
        <v/>
      </c>
      <c r="CW41" t="str">
        <f>""</f>
        <v/>
      </c>
      <c r="CX41" t="str">
        <f>""</f>
        <v/>
      </c>
      <c r="CY41" t="str">
        <f>""</f>
        <v/>
      </c>
      <c r="CZ41" t="str">
        <f>""</f>
        <v/>
      </c>
      <c r="DA41" t="str">
        <f>""</f>
        <v/>
      </c>
      <c r="DB41" t="str">
        <f>""</f>
        <v/>
      </c>
      <c r="DC41" t="str">
        <f>""</f>
        <v/>
      </c>
      <c r="DD41" t="str">
        <f>""</f>
        <v/>
      </c>
      <c r="DE41" t="str">
        <f>""</f>
        <v/>
      </c>
      <c r="DF41" t="str">
        <f>""</f>
        <v/>
      </c>
      <c r="DG41" t="str">
        <f>""</f>
        <v/>
      </c>
      <c r="DH41" t="str">
        <f>""</f>
        <v/>
      </c>
      <c r="DI41" t="str">
        <f>""</f>
        <v/>
      </c>
      <c r="DJ41" t="str">
        <f>""</f>
        <v/>
      </c>
      <c r="DK41" t="str">
        <f>""</f>
        <v/>
      </c>
      <c r="DL41" t="str">
        <f>""</f>
        <v/>
      </c>
      <c r="DM41" t="str">
        <f>""</f>
        <v/>
      </c>
      <c r="DN41" t="str">
        <f>""</f>
        <v/>
      </c>
      <c r="DO41" t="str">
        <f>""</f>
        <v/>
      </c>
      <c r="DP41" t="str">
        <f>""</f>
        <v/>
      </c>
      <c r="DQ41" t="str">
        <f>""</f>
        <v/>
      </c>
      <c r="DR41" t="str">
        <f>""</f>
        <v/>
      </c>
      <c r="DS41" t="str">
        <f>""</f>
        <v/>
      </c>
      <c r="DT41" t="str">
        <f>""</f>
        <v/>
      </c>
      <c r="DU41" t="str">
        <f>""</f>
        <v/>
      </c>
    </row>
    <row r="42" spans="1:125" x14ac:dyDescent="0.25">
      <c r="A42" t="str">
        <f>$A$7</f>
        <v xml:space="preserve">        Government: Consumption Expenditure</v>
      </c>
      <c r="B42" t="str">
        <f>$B$7</f>
        <v>GCEXCONE Index</v>
      </c>
      <c r="C42" t="str">
        <f>$C$7</f>
        <v>PR005</v>
      </c>
      <c r="D42" t="str">
        <f>$D$7</f>
        <v>PX_LAST</v>
      </c>
      <c r="E42" t="str">
        <f>$E$7</f>
        <v>Dynamic</v>
      </c>
      <c r="F42" t="str">
        <f ca="1">_xll.BDH($B$7,$C$7,$B$29,$B$30,CONCATENATE("Per=",$B$27),"Dts=H","Dir=H",CONCATENATE("Points=",$B$28),"Sort=R","Days=A","Fill=B",CONCATENATE("FX=", $B$26),"cols=60;rows=1")</f>
        <v/>
      </c>
      <c r="G42">
        <v>4132</v>
      </c>
      <c r="H42">
        <v>4104.8999999999996</v>
      </c>
      <c r="I42">
        <v>4071.4</v>
      </c>
      <c r="J42">
        <v>4021.9</v>
      </c>
      <c r="K42">
        <v>3959.5</v>
      </c>
      <c r="L42">
        <v>3914.6</v>
      </c>
      <c r="M42">
        <v>3848.1</v>
      </c>
      <c r="N42">
        <v>3808.4</v>
      </c>
      <c r="O42">
        <v>3706.2</v>
      </c>
      <c r="P42">
        <v>3700.9</v>
      </c>
      <c r="Q42">
        <v>3647.9</v>
      </c>
      <c r="R42">
        <v>3586.6</v>
      </c>
      <c r="S42">
        <v>3551.6</v>
      </c>
      <c r="T42">
        <v>3467.9</v>
      </c>
      <c r="U42">
        <v>3437.6</v>
      </c>
      <c r="V42">
        <v>3387.7</v>
      </c>
      <c r="W42">
        <v>3349.9</v>
      </c>
      <c r="X42">
        <v>3330.3</v>
      </c>
      <c r="Y42">
        <v>3196.8</v>
      </c>
      <c r="Z42">
        <v>3182.4</v>
      </c>
      <c r="AA42">
        <v>3206.1</v>
      </c>
      <c r="AB42">
        <v>3135.1</v>
      </c>
      <c r="AC42">
        <v>3080.9</v>
      </c>
      <c r="AD42">
        <v>3034.1</v>
      </c>
      <c r="AE42">
        <v>2994.2</v>
      </c>
      <c r="AF42">
        <v>2938.9</v>
      </c>
      <c r="AG42">
        <v>2913</v>
      </c>
      <c r="AH42">
        <v>2885.5</v>
      </c>
      <c r="AI42">
        <v>2839.1</v>
      </c>
      <c r="AJ42">
        <v>2801.3</v>
      </c>
      <c r="AK42">
        <v>2761.4</v>
      </c>
      <c r="AL42">
        <v>2715.9</v>
      </c>
      <c r="AM42">
        <v>2695.7</v>
      </c>
      <c r="AN42">
        <v>2689.9</v>
      </c>
      <c r="AO42">
        <v>2681</v>
      </c>
      <c r="AP42">
        <v>2668.3</v>
      </c>
      <c r="AQ42">
        <v>2642.9</v>
      </c>
      <c r="AR42">
        <v>2621.3000000000002</v>
      </c>
      <c r="AS42">
        <v>2624.4</v>
      </c>
      <c r="AT42">
        <v>2615.9</v>
      </c>
      <c r="AU42">
        <v>2601.4</v>
      </c>
      <c r="AV42">
        <v>2574.3000000000002</v>
      </c>
      <c r="AW42">
        <v>2571.9</v>
      </c>
      <c r="AX42">
        <v>2581.4</v>
      </c>
      <c r="AY42">
        <v>2548.4</v>
      </c>
      <c r="AZ42">
        <v>2547.4</v>
      </c>
      <c r="BA42">
        <v>2536.5</v>
      </c>
      <c r="BB42">
        <v>2530.6999999999998</v>
      </c>
      <c r="BC42">
        <v>2531.6</v>
      </c>
      <c r="BD42">
        <v>2524.1999999999998</v>
      </c>
      <c r="BE42">
        <v>2521.6</v>
      </c>
      <c r="BF42">
        <v>2519.6999999999998</v>
      </c>
      <c r="BG42">
        <v>2503.3000000000002</v>
      </c>
      <c r="BH42">
        <v>2517.1999999999998</v>
      </c>
      <c r="BI42">
        <v>2495</v>
      </c>
      <c r="BJ42">
        <v>2501.8000000000002</v>
      </c>
      <c r="BK42">
        <v>2532</v>
      </c>
      <c r="BL42">
        <v>2516.4</v>
      </c>
      <c r="BM42">
        <v>2516.9</v>
      </c>
      <c r="BN42" t="str">
        <f>""</f>
        <v/>
      </c>
      <c r="BO42" t="str">
        <f>""</f>
        <v/>
      </c>
      <c r="BP42" t="str">
        <f>""</f>
        <v/>
      </c>
      <c r="BQ42" t="str">
        <f>""</f>
        <v/>
      </c>
      <c r="BR42" t="str">
        <f>""</f>
        <v/>
      </c>
      <c r="BS42" t="str">
        <f>""</f>
        <v/>
      </c>
      <c r="BT42" t="str">
        <f>""</f>
        <v/>
      </c>
      <c r="BU42" t="str">
        <f>""</f>
        <v/>
      </c>
      <c r="BV42" t="str">
        <f>""</f>
        <v/>
      </c>
      <c r="BW42" t="str">
        <f>""</f>
        <v/>
      </c>
      <c r="BX42" t="str">
        <f>""</f>
        <v/>
      </c>
      <c r="BY42" t="str">
        <f>""</f>
        <v/>
      </c>
      <c r="BZ42" t="str">
        <f>""</f>
        <v/>
      </c>
      <c r="CA42" t="str">
        <f>""</f>
        <v/>
      </c>
      <c r="CB42" t="str">
        <f>""</f>
        <v/>
      </c>
      <c r="CC42" t="str">
        <f>""</f>
        <v/>
      </c>
      <c r="CD42" t="str">
        <f>""</f>
        <v/>
      </c>
      <c r="CE42" t="str">
        <f>""</f>
        <v/>
      </c>
      <c r="CF42" t="str">
        <f>""</f>
        <v/>
      </c>
      <c r="CG42" t="str">
        <f>""</f>
        <v/>
      </c>
      <c r="CH42" t="str">
        <f>""</f>
        <v/>
      </c>
      <c r="CI42" t="str">
        <f>""</f>
        <v/>
      </c>
      <c r="CJ42" t="str">
        <f>""</f>
        <v/>
      </c>
      <c r="CK42" t="str">
        <f>""</f>
        <v/>
      </c>
      <c r="CL42" t="str">
        <f>""</f>
        <v/>
      </c>
      <c r="CM42" t="str">
        <f>""</f>
        <v/>
      </c>
      <c r="CN42" t="str">
        <f>""</f>
        <v/>
      </c>
      <c r="CO42" t="str">
        <f>""</f>
        <v/>
      </c>
      <c r="CP42" t="str">
        <f>""</f>
        <v/>
      </c>
      <c r="CQ42" t="str">
        <f>""</f>
        <v/>
      </c>
      <c r="CR42" t="str">
        <f>""</f>
        <v/>
      </c>
      <c r="CS42" t="str">
        <f>""</f>
        <v/>
      </c>
      <c r="CT42" t="str">
        <f>""</f>
        <v/>
      </c>
      <c r="CU42" t="str">
        <f>""</f>
        <v/>
      </c>
      <c r="CV42" t="str">
        <f>""</f>
        <v/>
      </c>
      <c r="CW42" t="str">
        <f>""</f>
        <v/>
      </c>
      <c r="CX42" t="str">
        <f>""</f>
        <v/>
      </c>
      <c r="CY42" t="str">
        <f>""</f>
        <v/>
      </c>
      <c r="CZ42" t="str">
        <f>""</f>
        <v/>
      </c>
      <c r="DA42" t="str">
        <f>""</f>
        <v/>
      </c>
      <c r="DB42" t="str">
        <f>""</f>
        <v/>
      </c>
      <c r="DC42" t="str">
        <f>""</f>
        <v/>
      </c>
      <c r="DD42" t="str">
        <f>""</f>
        <v/>
      </c>
      <c r="DE42" t="str">
        <f>""</f>
        <v/>
      </c>
      <c r="DF42" t="str">
        <f>""</f>
        <v/>
      </c>
      <c r="DG42" t="str">
        <f>""</f>
        <v/>
      </c>
      <c r="DH42" t="str">
        <f>""</f>
        <v/>
      </c>
      <c r="DI42" t="str">
        <f>""</f>
        <v/>
      </c>
      <c r="DJ42" t="str">
        <f>""</f>
        <v/>
      </c>
      <c r="DK42" t="str">
        <f>""</f>
        <v/>
      </c>
      <c r="DL42" t="str">
        <f>""</f>
        <v/>
      </c>
      <c r="DM42" t="str">
        <f>""</f>
        <v/>
      </c>
      <c r="DN42" t="str">
        <f>""</f>
        <v/>
      </c>
      <c r="DO42" t="str">
        <f>""</f>
        <v/>
      </c>
      <c r="DP42" t="str">
        <f>""</f>
        <v/>
      </c>
      <c r="DQ42" t="str">
        <f>""</f>
        <v/>
      </c>
      <c r="DR42" t="str">
        <f>""</f>
        <v/>
      </c>
      <c r="DS42" t="str">
        <f>""</f>
        <v/>
      </c>
      <c r="DT42" t="str">
        <f>""</f>
        <v/>
      </c>
      <c r="DU42" t="str">
        <f>""</f>
        <v/>
      </c>
    </row>
    <row r="43" spans="1:125" x14ac:dyDescent="0.25">
      <c r="A43" t="str">
        <f>$A$8</f>
        <v xml:space="preserve">        Government: Gross Investment</v>
      </c>
      <c r="B43" t="str">
        <f>$B$8</f>
        <v>GCEXGRSS Index</v>
      </c>
      <c r="C43" t="str">
        <f>$C$8</f>
        <v>PR005</v>
      </c>
      <c r="D43" t="str">
        <f>$D$8</f>
        <v>PX_LAST</v>
      </c>
      <c r="E43" t="str">
        <f>$E$8</f>
        <v>Dynamic</v>
      </c>
      <c r="F43" t="str">
        <f ca="1">_xll.BDH($B$8,$C$8,$B$29,$B$30,CONCATENATE("Per=",$B$27),"Dts=H","Dir=H",CONCATENATE("Points=",$B$28),"Sort=R","Days=A","Fill=B",CONCATENATE("FX=", $B$26),"cols=60;rows=1")</f>
        <v/>
      </c>
      <c r="G43">
        <v>1105</v>
      </c>
      <c r="H43">
        <v>1090.5999999999999</v>
      </c>
      <c r="I43">
        <v>1079.3</v>
      </c>
      <c r="J43">
        <v>1065</v>
      </c>
      <c r="K43">
        <v>1035.5999999999999</v>
      </c>
      <c r="L43">
        <v>1017.2</v>
      </c>
      <c r="M43">
        <v>1012.9</v>
      </c>
      <c r="N43">
        <v>981.4</v>
      </c>
      <c r="O43">
        <v>967.2</v>
      </c>
      <c r="P43">
        <v>939.6</v>
      </c>
      <c r="Q43">
        <v>922.7</v>
      </c>
      <c r="R43">
        <v>899.9</v>
      </c>
      <c r="S43">
        <v>887.8</v>
      </c>
      <c r="T43">
        <v>868.3</v>
      </c>
      <c r="U43">
        <v>847.4</v>
      </c>
      <c r="V43">
        <v>832.2</v>
      </c>
      <c r="W43">
        <v>824.3</v>
      </c>
      <c r="X43">
        <v>825.1</v>
      </c>
      <c r="Y43">
        <v>834</v>
      </c>
      <c r="Z43">
        <v>819.4</v>
      </c>
      <c r="AA43">
        <v>815.6</v>
      </c>
      <c r="AB43">
        <v>806.9</v>
      </c>
      <c r="AC43">
        <v>784</v>
      </c>
      <c r="AD43">
        <v>780.7</v>
      </c>
      <c r="AE43">
        <v>767</v>
      </c>
      <c r="AF43">
        <v>764</v>
      </c>
      <c r="AG43">
        <v>737.9</v>
      </c>
      <c r="AH43">
        <v>740.6</v>
      </c>
      <c r="AI43">
        <v>731.6</v>
      </c>
      <c r="AJ43">
        <v>712.6</v>
      </c>
      <c r="AK43">
        <v>704.8</v>
      </c>
      <c r="AL43">
        <v>683</v>
      </c>
      <c r="AM43">
        <v>674.7</v>
      </c>
      <c r="AN43">
        <v>663.2</v>
      </c>
      <c r="AO43">
        <v>656.2</v>
      </c>
      <c r="AP43">
        <v>646.9</v>
      </c>
      <c r="AQ43">
        <v>646.6</v>
      </c>
      <c r="AR43">
        <v>648.79999999999995</v>
      </c>
      <c r="AS43">
        <v>633.79999999999995</v>
      </c>
      <c r="AT43">
        <v>637.70000000000005</v>
      </c>
      <c r="AU43">
        <v>632.70000000000005</v>
      </c>
      <c r="AV43">
        <v>613.6</v>
      </c>
      <c r="AW43">
        <v>617.4</v>
      </c>
      <c r="AX43">
        <v>610.4</v>
      </c>
      <c r="AY43">
        <v>605.9</v>
      </c>
      <c r="AZ43">
        <v>591.70000000000005</v>
      </c>
      <c r="BA43">
        <v>604.1</v>
      </c>
      <c r="BB43">
        <v>604.5</v>
      </c>
      <c r="BC43">
        <v>599.5</v>
      </c>
      <c r="BD43">
        <v>599.29999999999995</v>
      </c>
      <c r="BE43">
        <v>610.79999999999995</v>
      </c>
      <c r="BF43">
        <v>619.4</v>
      </c>
      <c r="BG43">
        <v>627.1</v>
      </c>
      <c r="BH43">
        <v>626.79999999999995</v>
      </c>
      <c r="BI43">
        <v>635.70000000000005</v>
      </c>
      <c r="BJ43">
        <v>635.1</v>
      </c>
      <c r="BK43">
        <v>636.29999999999995</v>
      </c>
      <c r="BL43">
        <v>639.4</v>
      </c>
      <c r="BM43">
        <v>647.4</v>
      </c>
      <c r="BN43" t="str">
        <f>""</f>
        <v/>
      </c>
      <c r="BO43" t="str">
        <f>""</f>
        <v/>
      </c>
      <c r="BP43" t="str">
        <f>""</f>
        <v/>
      </c>
      <c r="BQ43" t="str">
        <f>""</f>
        <v/>
      </c>
      <c r="BR43" t="str">
        <f>""</f>
        <v/>
      </c>
      <c r="BS43" t="str">
        <f>""</f>
        <v/>
      </c>
      <c r="BT43" t="str">
        <f>""</f>
        <v/>
      </c>
      <c r="BU43" t="str">
        <f>""</f>
        <v/>
      </c>
      <c r="BV43" t="str">
        <f>""</f>
        <v/>
      </c>
      <c r="BW43" t="str">
        <f>""</f>
        <v/>
      </c>
      <c r="BX43" t="str">
        <f>""</f>
        <v/>
      </c>
      <c r="BY43" t="str">
        <f>""</f>
        <v/>
      </c>
      <c r="BZ43" t="str">
        <f>""</f>
        <v/>
      </c>
      <c r="CA43" t="str">
        <f>""</f>
        <v/>
      </c>
      <c r="CB43" t="str">
        <f>""</f>
        <v/>
      </c>
      <c r="CC43" t="str">
        <f>""</f>
        <v/>
      </c>
      <c r="CD43" t="str">
        <f>""</f>
        <v/>
      </c>
      <c r="CE43" t="str">
        <f>""</f>
        <v/>
      </c>
      <c r="CF43" t="str">
        <f>""</f>
        <v/>
      </c>
      <c r="CG43" t="str">
        <f>""</f>
        <v/>
      </c>
      <c r="CH43" t="str">
        <f>""</f>
        <v/>
      </c>
      <c r="CI43" t="str">
        <f>""</f>
        <v/>
      </c>
      <c r="CJ43" t="str">
        <f>""</f>
        <v/>
      </c>
      <c r="CK43" t="str">
        <f>""</f>
        <v/>
      </c>
      <c r="CL43" t="str">
        <f>""</f>
        <v/>
      </c>
      <c r="CM43" t="str">
        <f>""</f>
        <v/>
      </c>
      <c r="CN43" t="str">
        <f>""</f>
        <v/>
      </c>
      <c r="CO43" t="str">
        <f>""</f>
        <v/>
      </c>
      <c r="CP43" t="str">
        <f>""</f>
        <v/>
      </c>
      <c r="CQ43" t="str">
        <f>""</f>
        <v/>
      </c>
      <c r="CR43" t="str">
        <f>""</f>
        <v/>
      </c>
      <c r="CS43" t="str">
        <f>""</f>
        <v/>
      </c>
      <c r="CT43" t="str">
        <f>""</f>
        <v/>
      </c>
      <c r="CU43" t="str">
        <f>""</f>
        <v/>
      </c>
      <c r="CV43" t="str">
        <f>""</f>
        <v/>
      </c>
      <c r="CW43" t="str">
        <f>""</f>
        <v/>
      </c>
      <c r="CX43" t="str">
        <f>""</f>
        <v/>
      </c>
      <c r="CY43" t="str">
        <f>""</f>
        <v/>
      </c>
      <c r="CZ43" t="str">
        <f>""</f>
        <v/>
      </c>
      <c r="DA43" t="str">
        <f>""</f>
        <v/>
      </c>
      <c r="DB43" t="str">
        <f>""</f>
        <v/>
      </c>
      <c r="DC43" t="str">
        <f>""</f>
        <v/>
      </c>
      <c r="DD43" t="str">
        <f>""</f>
        <v/>
      </c>
      <c r="DE43" t="str">
        <f>""</f>
        <v/>
      </c>
      <c r="DF43" t="str">
        <f>""</f>
        <v/>
      </c>
      <c r="DG43" t="str">
        <f>""</f>
        <v/>
      </c>
      <c r="DH43" t="str">
        <f>""</f>
        <v/>
      </c>
      <c r="DI43" t="str">
        <f>""</f>
        <v/>
      </c>
      <c r="DJ43" t="str">
        <f>""</f>
        <v/>
      </c>
      <c r="DK43" t="str">
        <f>""</f>
        <v/>
      </c>
      <c r="DL43" t="str">
        <f>""</f>
        <v/>
      </c>
      <c r="DM43" t="str">
        <f>""</f>
        <v/>
      </c>
      <c r="DN43" t="str">
        <f>""</f>
        <v/>
      </c>
      <c r="DO43" t="str">
        <f>""</f>
        <v/>
      </c>
      <c r="DP43" t="str">
        <f>""</f>
        <v/>
      </c>
      <c r="DQ43" t="str">
        <f>""</f>
        <v/>
      </c>
      <c r="DR43" t="str">
        <f>""</f>
        <v/>
      </c>
      <c r="DS43" t="str">
        <f>""</f>
        <v/>
      </c>
      <c r="DT43" t="str">
        <f>""</f>
        <v/>
      </c>
      <c r="DU43" t="str">
        <f>""</f>
        <v/>
      </c>
    </row>
    <row r="44" spans="1:125" x14ac:dyDescent="0.25">
      <c r="A44" t="str">
        <f>$A$9</f>
        <v xml:space="preserve">        Exports</v>
      </c>
      <c r="B44" t="str">
        <f>$B$9</f>
        <v>GDP$EXP Index</v>
      </c>
      <c r="C44" t="str">
        <f>$C$9</f>
        <v>PR005</v>
      </c>
      <c r="D44" t="str">
        <f>$D$9</f>
        <v>PX_LAST</v>
      </c>
      <c r="E44" t="str">
        <f>$E$9</f>
        <v>Dynamic</v>
      </c>
      <c r="F44" t="str">
        <f ca="1">_xll.BDH($B$9,$C$9,$B$29,$B$30,CONCATENATE("Per=",$B$27),"Dts=H","Dir=H",CONCATENATE("Points=",$B$28),"Sort=R","Days=A","Fill=B",CONCATENATE("FX=", $B$26),"cols=60;rows=1")</f>
        <v/>
      </c>
      <c r="G44">
        <v>3267.5</v>
      </c>
      <c r="H44">
        <v>3293.7</v>
      </c>
      <c r="I44">
        <v>3248.3</v>
      </c>
      <c r="J44">
        <v>3256.5</v>
      </c>
      <c r="K44">
        <v>3192.6</v>
      </c>
      <c r="L44">
        <v>3164.1</v>
      </c>
      <c r="M44">
        <v>3109.6</v>
      </c>
      <c r="N44">
        <v>3082.1</v>
      </c>
      <c r="O44">
        <v>3016.2</v>
      </c>
      <c r="P44">
        <v>3085.5</v>
      </c>
      <c r="Q44">
        <v>3057.7</v>
      </c>
      <c r="R44">
        <v>3129.1</v>
      </c>
      <c r="S44">
        <v>3093.7</v>
      </c>
      <c r="T44">
        <v>2865.2</v>
      </c>
      <c r="U44">
        <v>2777.6</v>
      </c>
      <c r="V44">
        <v>2581.3000000000002</v>
      </c>
      <c r="W44">
        <v>2522.8000000000002</v>
      </c>
      <c r="X44">
        <v>2393</v>
      </c>
      <c r="Y44">
        <v>2278</v>
      </c>
      <c r="Z44">
        <v>2116.8000000000002</v>
      </c>
      <c r="AA44">
        <v>1829.7</v>
      </c>
      <c r="AB44">
        <v>2430.9</v>
      </c>
      <c r="AC44">
        <v>2537.5</v>
      </c>
      <c r="AD44">
        <v>2532.4</v>
      </c>
      <c r="AE44">
        <v>2547.4</v>
      </c>
      <c r="AF44">
        <v>2540.1999999999998</v>
      </c>
      <c r="AG44">
        <v>2537.4</v>
      </c>
      <c r="AH44">
        <v>2535.5</v>
      </c>
      <c r="AI44">
        <v>2562.1999999999998</v>
      </c>
      <c r="AJ44">
        <v>2517.3000000000002</v>
      </c>
      <c r="AK44">
        <v>2479.1</v>
      </c>
      <c r="AL44">
        <v>2384.5</v>
      </c>
      <c r="AM44">
        <v>2349.6999999999998</v>
      </c>
      <c r="AN44">
        <v>2339.6999999999998</v>
      </c>
      <c r="AO44">
        <v>2268.3000000000002</v>
      </c>
      <c r="AP44">
        <v>2270</v>
      </c>
      <c r="AQ44">
        <v>2221.9</v>
      </c>
      <c r="AR44">
        <v>2182</v>
      </c>
      <c r="AS44">
        <v>2222.3000000000002</v>
      </c>
      <c r="AT44">
        <v>2260.6999999999998</v>
      </c>
      <c r="AU44">
        <v>2300.4</v>
      </c>
      <c r="AV44">
        <v>2299</v>
      </c>
      <c r="AW44">
        <v>2376.1999999999998</v>
      </c>
      <c r="AX44">
        <v>2399.1999999999998</v>
      </c>
      <c r="AY44">
        <v>2395.1999999999998</v>
      </c>
      <c r="AZ44">
        <v>2343.6</v>
      </c>
      <c r="BA44">
        <v>2349.1999999999998</v>
      </c>
      <c r="BB44">
        <v>2285.1</v>
      </c>
      <c r="BC44">
        <v>2261.4</v>
      </c>
      <c r="BD44">
        <v>2255.9</v>
      </c>
      <c r="BE44">
        <v>2237.5</v>
      </c>
      <c r="BF44">
        <v>2227.6999999999998</v>
      </c>
      <c r="BG44">
        <v>2215.6</v>
      </c>
      <c r="BH44">
        <v>2190</v>
      </c>
      <c r="BI44">
        <v>2150.1</v>
      </c>
      <c r="BJ44">
        <v>2156.8000000000002</v>
      </c>
      <c r="BK44">
        <v>2116.1</v>
      </c>
      <c r="BL44">
        <v>2040.4</v>
      </c>
      <c r="BM44">
        <v>1972.1</v>
      </c>
      <c r="BN44" t="str">
        <f>""</f>
        <v/>
      </c>
      <c r="BO44" t="str">
        <f>""</f>
        <v/>
      </c>
      <c r="BP44" t="str">
        <f>""</f>
        <v/>
      </c>
      <c r="BQ44" t="str">
        <f>""</f>
        <v/>
      </c>
      <c r="BR44" t="str">
        <f>""</f>
        <v/>
      </c>
      <c r="BS44" t="str">
        <f>""</f>
        <v/>
      </c>
      <c r="BT44" t="str">
        <f>""</f>
        <v/>
      </c>
      <c r="BU44" t="str">
        <f>""</f>
        <v/>
      </c>
      <c r="BV44" t="str">
        <f>""</f>
        <v/>
      </c>
      <c r="BW44" t="str">
        <f>""</f>
        <v/>
      </c>
      <c r="BX44" t="str">
        <f>""</f>
        <v/>
      </c>
      <c r="BY44" t="str">
        <f>""</f>
        <v/>
      </c>
      <c r="BZ44" t="str">
        <f>""</f>
        <v/>
      </c>
      <c r="CA44" t="str">
        <f>""</f>
        <v/>
      </c>
      <c r="CB44" t="str">
        <f>""</f>
        <v/>
      </c>
      <c r="CC44" t="str">
        <f>""</f>
        <v/>
      </c>
      <c r="CD44" t="str">
        <f>""</f>
        <v/>
      </c>
      <c r="CE44" t="str">
        <f>""</f>
        <v/>
      </c>
      <c r="CF44" t="str">
        <f>""</f>
        <v/>
      </c>
      <c r="CG44" t="str">
        <f>""</f>
        <v/>
      </c>
      <c r="CH44" t="str">
        <f>""</f>
        <v/>
      </c>
      <c r="CI44" t="str">
        <f>""</f>
        <v/>
      </c>
      <c r="CJ44" t="str">
        <f>""</f>
        <v/>
      </c>
      <c r="CK44" t="str">
        <f>""</f>
        <v/>
      </c>
      <c r="CL44" t="str">
        <f>""</f>
        <v/>
      </c>
      <c r="CM44" t="str">
        <f>""</f>
        <v/>
      </c>
      <c r="CN44" t="str">
        <f>""</f>
        <v/>
      </c>
      <c r="CO44" t="str">
        <f>""</f>
        <v/>
      </c>
      <c r="CP44" t="str">
        <f>""</f>
        <v/>
      </c>
      <c r="CQ44" t="str">
        <f>""</f>
        <v/>
      </c>
      <c r="CR44" t="str">
        <f>""</f>
        <v/>
      </c>
      <c r="CS44" t="str">
        <f>""</f>
        <v/>
      </c>
      <c r="CT44" t="str">
        <f>""</f>
        <v/>
      </c>
      <c r="CU44" t="str">
        <f>""</f>
        <v/>
      </c>
      <c r="CV44" t="str">
        <f>""</f>
        <v/>
      </c>
      <c r="CW44" t="str">
        <f>""</f>
        <v/>
      </c>
      <c r="CX44" t="str">
        <f>""</f>
        <v/>
      </c>
      <c r="CY44" t="str">
        <f>""</f>
        <v/>
      </c>
      <c r="CZ44" t="str">
        <f>""</f>
        <v/>
      </c>
      <c r="DA44" t="str">
        <f>""</f>
        <v/>
      </c>
      <c r="DB44" t="str">
        <f>""</f>
        <v/>
      </c>
      <c r="DC44" t="str">
        <f>""</f>
        <v/>
      </c>
      <c r="DD44" t="str">
        <f>""</f>
        <v/>
      </c>
      <c r="DE44" t="str">
        <f>""</f>
        <v/>
      </c>
      <c r="DF44" t="str">
        <f>""</f>
        <v/>
      </c>
      <c r="DG44" t="str">
        <f>""</f>
        <v/>
      </c>
      <c r="DH44" t="str">
        <f>""</f>
        <v/>
      </c>
      <c r="DI44" t="str">
        <f>""</f>
        <v/>
      </c>
      <c r="DJ44" t="str">
        <f>""</f>
        <v/>
      </c>
      <c r="DK44" t="str">
        <f>""</f>
        <v/>
      </c>
      <c r="DL44" t="str">
        <f>""</f>
        <v/>
      </c>
      <c r="DM44" t="str">
        <f>""</f>
        <v/>
      </c>
      <c r="DN44" t="str">
        <f>""</f>
        <v/>
      </c>
      <c r="DO44" t="str">
        <f>""</f>
        <v/>
      </c>
      <c r="DP44" t="str">
        <f>""</f>
        <v/>
      </c>
      <c r="DQ44" t="str">
        <f>""</f>
        <v/>
      </c>
      <c r="DR44" t="str">
        <f>""</f>
        <v/>
      </c>
      <c r="DS44" t="str">
        <f>""</f>
        <v/>
      </c>
      <c r="DT44" t="str">
        <f>""</f>
        <v/>
      </c>
      <c r="DU44" t="str">
        <f>""</f>
        <v/>
      </c>
    </row>
    <row r="45" spans="1:125" x14ac:dyDescent="0.25">
      <c r="A45" t="str">
        <f>$A$10</f>
        <v xml:space="preserve">        Imports</v>
      </c>
      <c r="B45" t="str">
        <f>$B$10</f>
        <v>GDP$IMP Index</v>
      </c>
      <c r="C45" t="str">
        <f>$C$10</f>
        <v>PR005</v>
      </c>
      <c r="D45" t="str">
        <f>$D$10</f>
        <v>PX_LAST</v>
      </c>
      <c r="E45" t="str">
        <f>$E$10</f>
        <v>Dynamic</v>
      </c>
      <c r="F45" t="str">
        <f ca="1">_xll.BDH($B$10,$C$10,$B$29,$B$30,CONCATENATE("Per=",$B$27),"Dts=H","Dir=H",CONCATENATE("Points=",$B$28),"Sort=R","Days=A","Fill=B",CONCATENATE("FX=", $B$26),"cols=60;rows=1")</f>
        <v/>
      </c>
      <c r="G45">
        <v>4167.3</v>
      </c>
      <c r="H45">
        <v>4558.3</v>
      </c>
      <c r="I45">
        <v>4186.8999999999996</v>
      </c>
      <c r="J45">
        <v>4194.8</v>
      </c>
      <c r="K45">
        <v>4087</v>
      </c>
      <c r="L45">
        <v>3986.6</v>
      </c>
      <c r="M45">
        <v>3897.7</v>
      </c>
      <c r="N45">
        <v>3847.6</v>
      </c>
      <c r="O45">
        <v>3813.7</v>
      </c>
      <c r="P45">
        <v>3880.4</v>
      </c>
      <c r="Q45">
        <v>3908.3</v>
      </c>
      <c r="R45">
        <v>3984.7</v>
      </c>
      <c r="S45">
        <v>4089.9</v>
      </c>
      <c r="T45">
        <v>3914.4</v>
      </c>
      <c r="U45">
        <v>3686.4</v>
      </c>
      <c r="V45">
        <v>3454.8</v>
      </c>
      <c r="W45">
        <v>3348.4</v>
      </c>
      <c r="X45">
        <v>3182.1</v>
      </c>
      <c r="Y45">
        <v>3036.1</v>
      </c>
      <c r="Z45">
        <v>2804.4</v>
      </c>
      <c r="AA45">
        <v>2356.6</v>
      </c>
      <c r="AB45">
        <v>2932.5</v>
      </c>
      <c r="AC45">
        <v>3050.8</v>
      </c>
      <c r="AD45">
        <v>3118</v>
      </c>
      <c r="AE45">
        <v>3165.4</v>
      </c>
      <c r="AF45">
        <v>3132.5</v>
      </c>
      <c r="AG45">
        <v>3171.6</v>
      </c>
      <c r="AH45">
        <v>3153.7</v>
      </c>
      <c r="AI45">
        <v>3106</v>
      </c>
      <c r="AJ45">
        <v>3093.3</v>
      </c>
      <c r="AK45">
        <v>3034</v>
      </c>
      <c r="AL45">
        <v>2916</v>
      </c>
      <c r="AM45">
        <v>2903.2</v>
      </c>
      <c r="AN45">
        <v>2873.1</v>
      </c>
      <c r="AO45">
        <v>2799.1</v>
      </c>
      <c r="AP45">
        <v>2751.2</v>
      </c>
      <c r="AQ45">
        <v>2711.3</v>
      </c>
      <c r="AR45">
        <v>2693.6</v>
      </c>
      <c r="AS45">
        <v>2745.5</v>
      </c>
      <c r="AT45">
        <v>2798.8</v>
      </c>
      <c r="AU45">
        <v>2810</v>
      </c>
      <c r="AV45">
        <v>2825.5</v>
      </c>
      <c r="AW45">
        <v>2907</v>
      </c>
      <c r="AX45">
        <v>2888.5</v>
      </c>
      <c r="AY45">
        <v>2900.6</v>
      </c>
      <c r="AZ45">
        <v>2853.7</v>
      </c>
      <c r="BA45">
        <v>2783.3</v>
      </c>
      <c r="BB45">
        <v>2767.2</v>
      </c>
      <c r="BC45">
        <v>2759.8</v>
      </c>
      <c r="BD45">
        <v>2755.3</v>
      </c>
      <c r="BE45">
        <v>2753.4</v>
      </c>
      <c r="BF45">
        <v>2750.8</v>
      </c>
      <c r="BG45">
        <v>2780.8</v>
      </c>
      <c r="BH45">
        <v>2792.3</v>
      </c>
      <c r="BI45">
        <v>2751.9</v>
      </c>
      <c r="BJ45">
        <v>2723.9</v>
      </c>
      <c r="BK45">
        <v>2697.2</v>
      </c>
      <c r="BL45">
        <v>2608.9</v>
      </c>
      <c r="BM45">
        <v>2495.6999999999998</v>
      </c>
      <c r="BN45" t="str">
        <f>""</f>
        <v/>
      </c>
      <c r="BO45" t="str">
        <f>""</f>
        <v/>
      </c>
      <c r="BP45" t="str">
        <f>""</f>
        <v/>
      </c>
      <c r="BQ45" t="str">
        <f>""</f>
        <v/>
      </c>
      <c r="BR45" t="str">
        <f>""</f>
        <v/>
      </c>
      <c r="BS45" t="str">
        <f>""</f>
        <v/>
      </c>
      <c r="BT45" t="str">
        <f>""</f>
        <v/>
      </c>
      <c r="BU45" t="str">
        <f>""</f>
        <v/>
      </c>
      <c r="BV45" t="str">
        <f>""</f>
        <v/>
      </c>
      <c r="BW45" t="str">
        <f>""</f>
        <v/>
      </c>
      <c r="BX45" t="str">
        <f>""</f>
        <v/>
      </c>
      <c r="BY45" t="str">
        <f>""</f>
        <v/>
      </c>
      <c r="BZ45" t="str">
        <f>""</f>
        <v/>
      </c>
      <c r="CA45" t="str">
        <f>""</f>
        <v/>
      </c>
      <c r="CB45" t="str">
        <f>""</f>
        <v/>
      </c>
      <c r="CC45" t="str">
        <f>""</f>
        <v/>
      </c>
      <c r="CD45" t="str">
        <f>""</f>
        <v/>
      </c>
      <c r="CE45" t="str">
        <f>""</f>
        <v/>
      </c>
      <c r="CF45" t="str">
        <f>""</f>
        <v/>
      </c>
      <c r="CG45" t="str">
        <f>""</f>
        <v/>
      </c>
      <c r="CH45" t="str">
        <f>""</f>
        <v/>
      </c>
      <c r="CI45" t="str">
        <f>""</f>
        <v/>
      </c>
      <c r="CJ45" t="str">
        <f>""</f>
        <v/>
      </c>
      <c r="CK45" t="str">
        <f>""</f>
        <v/>
      </c>
      <c r="CL45" t="str">
        <f>""</f>
        <v/>
      </c>
      <c r="CM45" t="str">
        <f>""</f>
        <v/>
      </c>
      <c r="CN45" t="str">
        <f>""</f>
        <v/>
      </c>
      <c r="CO45" t="str">
        <f>""</f>
        <v/>
      </c>
      <c r="CP45" t="str">
        <f>""</f>
        <v/>
      </c>
      <c r="CQ45" t="str">
        <f>""</f>
        <v/>
      </c>
      <c r="CR45" t="str">
        <f>""</f>
        <v/>
      </c>
      <c r="CS45" t="str">
        <f>""</f>
        <v/>
      </c>
      <c r="CT45" t="str">
        <f>""</f>
        <v/>
      </c>
      <c r="CU45" t="str">
        <f>""</f>
        <v/>
      </c>
      <c r="CV45" t="str">
        <f>""</f>
        <v/>
      </c>
      <c r="CW45" t="str">
        <f>""</f>
        <v/>
      </c>
      <c r="CX45" t="str">
        <f>""</f>
        <v/>
      </c>
      <c r="CY45" t="str">
        <f>""</f>
        <v/>
      </c>
      <c r="CZ45" t="str">
        <f>""</f>
        <v/>
      </c>
      <c r="DA45" t="str">
        <f>""</f>
        <v/>
      </c>
      <c r="DB45" t="str">
        <f>""</f>
        <v/>
      </c>
      <c r="DC45" t="str">
        <f>""</f>
        <v/>
      </c>
      <c r="DD45" t="str">
        <f>""</f>
        <v/>
      </c>
      <c r="DE45" t="str">
        <f>""</f>
        <v/>
      </c>
      <c r="DF45" t="str">
        <f>""</f>
        <v/>
      </c>
      <c r="DG45" t="str">
        <f>""</f>
        <v/>
      </c>
      <c r="DH45" t="str">
        <f>""</f>
        <v/>
      </c>
      <c r="DI45" t="str">
        <f>""</f>
        <v/>
      </c>
      <c r="DJ45" t="str">
        <f>""</f>
        <v/>
      </c>
      <c r="DK45" t="str">
        <f>""</f>
        <v/>
      </c>
      <c r="DL45" t="str">
        <f>""</f>
        <v/>
      </c>
      <c r="DM45" t="str">
        <f>""</f>
        <v/>
      </c>
      <c r="DN45" t="str">
        <f>""</f>
        <v/>
      </c>
      <c r="DO45" t="str">
        <f>""</f>
        <v/>
      </c>
      <c r="DP45" t="str">
        <f>""</f>
        <v/>
      </c>
      <c r="DQ45" t="str">
        <f>""</f>
        <v/>
      </c>
      <c r="DR45" t="str">
        <f>""</f>
        <v/>
      </c>
      <c r="DS45" t="str">
        <f>""</f>
        <v/>
      </c>
      <c r="DT45" t="str">
        <f>""</f>
        <v/>
      </c>
      <c r="DU45" t="str">
        <f>""</f>
        <v/>
      </c>
    </row>
    <row r="46" spans="1:125" x14ac:dyDescent="0.25">
      <c r="A46" t="str">
        <f>""</f>
        <v/>
      </c>
      <c r="B46" t="str">
        <f>""</f>
        <v/>
      </c>
      <c r="C46" t="str">
        <f>""</f>
        <v/>
      </c>
      <c r="D46" t="str">
        <f>""</f>
        <v/>
      </c>
      <c r="E46" t="str">
        <f>""</f>
        <v/>
      </c>
      <c r="BN46" t="str">
        <f>""</f>
        <v/>
      </c>
      <c r="BO46" t="str">
        <f>""</f>
        <v/>
      </c>
      <c r="BP46" t="str">
        <f>""</f>
        <v/>
      </c>
      <c r="BQ46" t="str">
        <f>""</f>
        <v/>
      </c>
      <c r="BR46" t="str">
        <f>""</f>
        <v/>
      </c>
      <c r="BS46" t="str">
        <f>""</f>
        <v/>
      </c>
      <c r="BT46" t="str">
        <f>""</f>
        <v/>
      </c>
      <c r="BU46" t="str">
        <f>""</f>
        <v/>
      </c>
      <c r="BV46" t="str">
        <f>""</f>
        <v/>
      </c>
      <c r="BW46" t="str">
        <f>""</f>
        <v/>
      </c>
      <c r="BX46" t="str">
        <f>""</f>
        <v/>
      </c>
      <c r="BY46" t="str">
        <f>""</f>
        <v/>
      </c>
      <c r="BZ46" t="str">
        <f>""</f>
        <v/>
      </c>
      <c r="CA46" t="str">
        <f>""</f>
        <v/>
      </c>
      <c r="CB46" t="str">
        <f>""</f>
        <v/>
      </c>
      <c r="CC46" t="str">
        <f>""</f>
        <v/>
      </c>
      <c r="CD46" t="str">
        <f>""</f>
        <v/>
      </c>
      <c r="CE46" t="str">
        <f>""</f>
        <v/>
      </c>
      <c r="CF46" t="str">
        <f>""</f>
        <v/>
      </c>
      <c r="CG46" t="str">
        <f>""</f>
        <v/>
      </c>
      <c r="CH46" t="str">
        <f>""</f>
        <v/>
      </c>
      <c r="CI46" t="str">
        <f>""</f>
        <v/>
      </c>
      <c r="CJ46" t="str">
        <f>""</f>
        <v/>
      </c>
      <c r="CK46" t="str">
        <f>""</f>
        <v/>
      </c>
      <c r="CL46" t="str">
        <f>""</f>
        <v/>
      </c>
      <c r="CM46" t="str">
        <f>""</f>
        <v/>
      </c>
      <c r="CN46" t="str">
        <f>""</f>
        <v/>
      </c>
      <c r="CO46" t="str">
        <f>""</f>
        <v/>
      </c>
      <c r="CP46" t="str">
        <f>""</f>
        <v/>
      </c>
      <c r="CQ46" t="str">
        <f>""</f>
        <v/>
      </c>
      <c r="CR46" t="str">
        <f>""</f>
        <v/>
      </c>
      <c r="CS46" t="str">
        <f>""</f>
        <v/>
      </c>
      <c r="CT46" t="str">
        <f>""</f>
        <v/>
      </c>
      <c r="CU46" t="str">
        <f>""</f>
        <v/>
      </c>
      <c r="CV46" t="str">
        <f>""</f>
        <v/>
      </c>
      <c r="CW46" t="str">
        <f>""</f>
        <v/>
      </c>
      <c r="CX46" t="str">
        <f>""</f>
        <v/>
      </c>
      <c r="CY46" t="str">
        <f>""</f>
        <v/>
      </c>
      <c r="CZ46" t="str">
        <f>""</f>
        <v/>
      </c>
      <c r="DA46" t="str">
        <f>""</f>
        <v/>
      </c>
      <c r="DB46" t="str">
        <f>""</f>
        <v/>
      </c>
      <c r="DC46" t="str">
        <f>""</f>
        <v/>
      </c>
      <c r="DD46" t="str">
        <f>""</f>
        <v/>
      </c>
      <c r="DE46" t="str">
        <f>""</f>
        <v/>
      </c>
      <c r="DF46" t="str">
        <f>""</f>
        <v/>
      </c>
      <c r="DG46" t="str">
        <f>""</f>
        <v/>
      </c>
      <c r="DH46" t="str">
        <f>""</f>
        <v/>
      </c>
      <c r="DI46" t="str">
        <f>""</f>
        <v/>
      </c>
      <c r="DJ46" t="str">
        <f>""</f>
        <v/>
      </c>
      <c r="DK46" t="str">
        <f>""</f>
        <v/>
      </c>
      <c r="DL46" t="str">
        <f>""</f>
        <v/>
      </c>
      <c r="DM46" t="str">
        <f>""</f>
        <v/>
      </c>
      <c r="DN46" t="str">
        <f>""</f>
        <v/>
      </c>
      <c r="DO46" t="str">
        <f>""</f>
        <v/>
      </c>
      <c r="DP46" t="str">
        <f>""</f>
        <v/>
      </c>
      <c r="DQ46" t="str">
        <f>""</f>
        <v/>
      </c>
      <c r="DR46" t="str">
        <f>""</f>
        <v/>
      </c>
      <c r="DS46" t="str">
        <f>""</f>
        <v/>
      </c>
      <c r="DT46" t="str">
        <f>""</f>
        <v/>
      </c>
      <c r="DU46" t="str">
        <f>""</f>
        <v/>
      </c>
    </row>
    <row r="47" spans="1:125" x14ac:dyDescent="0.25">
      <c r="A47" t="str">
        <f>""</f>
        <v/>
      </c>
      <c r="B47" t="str">
        <f>""</f>
        <v/>
      </c>
      <c r="C47" t="str">
        <f>""</f>
        <v/>
      </c>
      <c r="D47" t="str">
        <f>""</f>
        <v/>
      </c>
      <c r="E47" t="str">
        <f>""</f>
        <v/>
      </c>
      <c r="BN47" t="str">
        <f>""</f>
        <v/>
      </c>
      <c r="BO47" t="str">
        <f>""</f>
        <v/>
      </c>
      <c r="BP47" t="str">
        <f>""</f>
        <v/>
      </c>
      <c r="BQ47" t="str">
        <f>""</f>
        <v/>
      </c>
      <c r="BR47" t="str">
        <f>""</f>
        <v/>
      </c>
      <c r="BS47" t="str">
        <f>""</f>
        <v/>
      </c>
      <c r="BT47" t="str">
        <f>""</f>
        <v/>
      </c>
      <c r="BU47" t="str">
        <f>""</f>
        <v/>
      </c>
      <c r="BV47" t="str">
        <f>""</f>
        <v/>
      </c>
      <c r="BW47" t="str">
        <f>""</f>
        <v/>
      </c>
      <c r="BX47" t="str">
        <f>""</f>
        <v/>
      </c>
      <c r="BY47" t="str">
        <f>""</f>
        <v/>
      </c>
      <c r="BZ47" t="str">
        <f>""</f>
        <v/>
      </c>
      <c r="CA47" t="str">
        <f>""</f>
        <v/>
      </c>
      <c r="CB47" t="str">
        <f>""</f>
        <v/>
      </c>
      <c r="CC47" t="str">
        <f>""</f>
        <v/>
      </c>
      <c r="CD47" t="str">
        <f>""</f>
        <v/>
      </c>
      <c r="CE47" t="str">
        <f>""</f>
        <v/>
      </c>
      <c r="CF47" t="str">
        <f>""</f>
        <v/>
      </c>
      <c r="CG47" t="str">
        <f>""</f>
        <v/>
      </c>
      <c r="CH47" t="str">
        <f>""</f>
        <v/>
      </c>
      <c r="CI47" t="str">
        <f>""</f>
        <v/>
      </c>
      <c r="CJ47" t="str">
        <f>""</f>
        <v/>
      </c>
      <c r="CK47" t="str">
        <f>""</f>
        <v/>
      </c>
      <c r="CL47" t="str">
        <f>""</f>
        <v/>
      </c>
      <c r="CM47" t="str">
        <f>""</f>
        <v/>
      </c>
      <c r="CN47" t="str">
        <f>""</f>
        <v/>
      </c>
      <c r="CO47" t="str">
        <f>""</f>
        <v/>
      </c>
      <c r="CP47" t="str">
        <f>""</f>
        <v/>
      </c>
      <c r="CQ47" t="str">
        <f>""</f>
        <v/>
      </c>
      <c r="CR47" t="str">
        <f>""</f>
        <v/>
      </c>
      <c r="CS47" t="str">
        <f>""</f>
        <v/>
      </c>
      <c r="CT47" t="str">
        <f>""</f>
        <v/>
      </c>
      <c r="CU47" t="str">
        <f>""</f>
        <v/>
      </c>
      <c r="CV47" t="str">
        <f>""</f>
        <v/>
      </c>
      <c r="CW47" t="str">
        <f>""</f>
        <v/>
      </c>
      <c r="CX47" t="str">
        <f>""</f>
        <v/>
      </c>
      <c r="CY47" t="str">
        <f>""</f>
        <v/>
      </c>
      <c r="CZ47" t="str">
        <f>""</f>
        <v/>
      </c>
      <c r="DA47" t="str">
        <f>""</f>
        <v/>
      </c>
      <c r="DB47" t="str">
        <f>""</f>
        <v/>
      </c>
      <c r="DC47" t="str">
        <f>""</f>
        <v/>
      </c>
      <c r="DD47" t="str">
        <f>""</f>
        <v/>
      </c>
      <c r="DE47" t="str">
        <f>""</f>
        <v/>
      </c>
      <c r="DF47" t="str">
        <f>""</f>
        <v/>
      </c>
      <c r="DG47" t="str">
        <f>""</f>
        <v/>
      </c>
      <c r="DH47" t="str">
        <f>""</f>
        <v/>
      </c>
      <c r="DI47" t="str">
        <f>""</f>
        <v/>
      </c>
      <c r="DJ47" t="str">
        <f>""</f>
        <v/>
      </c>
      <c r="DK47" t="str">
        <f>""</f>
        <v/>
      </c>
      <c r="DL47" t="str">
        <f>""</f>
        <v/>
      </c>
      <c r="DM47" t="str">
        <f>""</f>
        <v/>
      </c>
      <c r="DN47" t="str">
        <f>""</f>
        <v/>
      </c>
      <c r="DO47" t="str">
        <f>""</f>
        <v/>
      </c>
      <c r="DP47" t="str">
        <f>""</f>
        <v/>
      </c>
      <c r="DQ47" t="str">
        <f>""</f>
        <v/>
      </c>
      <c r="DR47" t="str">
        <f>""</f>
        <v/>
      </c>
      <c r="DS47" t="str">
        <f>""</f>
        <v/>
      </c>
      <c r="DT47" t="str">
        <f>""</f>
        <v/>
      </c>
      <c r="DU47" t="str">
        <f>""</f>
        <v/>
      </c>
    </row>
    <row r="48" spans="1:125" x14ac:dyDescent="0.25">
      <c r="A48" t="str">
        <f>""</f>
        <v/>
      </c>
      <c r="B48" t="str">
        <f>""</f>
        <v/>
      </c>
      <c r="C48" t="str">
        <f>""</f>
        <v/>
      </c>
      <c r="D48" t="str">
        <f>""</f>
        <v/>
      </c>
      <c r="E48" t="str">
        <f>""</f>
        <v/>
      </c>
      <c r="BN48" t="str">
        <f>""</f>
        <v/>
      </c>
      <c r="BO48" t="str">
        <f>""</f>
        <v/>
      </c>
      <c r="BP48" t="str">
        <f>""</f>
        <v/>
      </c>
      <c r="BQ48" t="str">
        <f>""</f>
        <v/>
      </c>
      <c r="BR48" t="str">
        <f>""</f>
        <v/>
      </c>
      <c r="BS48" t="str">
        <f>""</f>
        <v/>
      </c>
      <c r="BT48" t="str">
        <f>""</f>
        <v/>
      </c>
      <c r="BU48" t="str">
        <f>""</f>
        <v/>
      </c>
      <c r="BV48" t="str">
        <f>""</f>
        <v/>
      </c>
      <c r="BW48" t="str">
        <f>""</f>
        <v/>
      </c>
      <c r="BX48" t="str">
        <f>""</f>
        <v/>
      </c>
      <c r="BY48" t="str">
        <f>""</f>
        <v/>
      </c>
      <c r="BZ48" t="str">
        <f>""</f>
        <v/>
      </c>
      <c r="CA48" t="str">
        <f>""</f>
        <v/>
      </c>
      <c r="CB48" t="str">
        <f>""</f>
        <v/>
      </c>
      <c r="CC48" t="str">
        <f>""</f>
        <v/>
      </c>
      <c r="CD48" t="str">
        <f>""</f>
        <v/>
      </c>
      <c r="CE48" t="str">
        <f>""</f>
        <v/>
      </c>
      <c r="CF48" t="str">
        <f>""</f>
        <v/>
      </c>
      <c r="CG48" t="str">
        <f>""</f>
        <v/>
      </c>
      <c r="CH48" t="str">
        <f>""</f>
        <v/>
      </c>
      <c r="CI48" t="str">
        <f>""</f>
        <v/>
      </c>
      <c r="CJ48" t="str">
        <f>""</f>
        <v/>
      </c>
      <c r="CK48" t="str">
        <f>""</f>
        <v/>
      </c>
      <c r="CL48" t="str">
        <f>""</f>
        <v/>
      </c>
      <c r="CM48" t="str">
        <f>""</f>
        <v/>
      </c>
      <c r="CN48" t="str">
        <f>""</f>
        <v/>
      </c>
      <c r="CO48" t="str">
        <f>""</f>
        <v/>
      </c>
      <c r="CP48" t="str">
        <f>""</f>
        <v/>
      </c>
      <c r="CQ48" t="str">
        <f>""</f>
        <v/>
      </c>
      <c r="CR48" t="str">
        <f>""</f>
        <v/>
      </c>
      <c r="CS48" t="str">
        <f>""</f>
        <v/>
      </c>
      <c r="CT48" t="str">
        <f>""</f>
        <v/>
      </c>
      <c r="CU48" t="str">
        <f>""</f>
        <v/>
      </c>
      <c r="CV48" t="str">
        <f>""</f>
        <v/>
      </c>
      <c r="CW48" t="str">
        <f>""</f>
        <v/>
      </c>
      <c r="CX48" t="str">
        <f>""</f>
        <v/>
      </c>
      <c r="CY48" t="str">
        <f>""</f>
        <v/>
      </c>
      <c r="CZ48" t="str">
        <f>""</f>
        <v/>
      </c>
      <c r="DA48" t="str">
        <f>""</f>
        <v/>
      </c>
      <c r="DB48" t="str">
        <f>""</f>
        <v/>
      </c>
      <c r="DC48" t="str">
        <f>""</f>
        <v/>
      </c>
      <c r="DD48" t="str">
        <f>""</f>
        <v/>
      </c>
      <c r="DE48" t="str">
        <f>""</f>
        <v/>
      </c>
      <c r="DF48" t="str">
        <f>""</f>
        <v/>
      </c>
      <c r="DG48" t="str">
        <f>""</f>
        <v/>
      </c>
      <c r="DH48" t="str">
        <f>""</f>
        <v/>
      </c>
      <c r="DI48" t="str">
        <f>""</f>
        <v/>
      </c>
      <c r="DJ48" t="str">
        <f>""</f>
        <v/>
      </c>
      <c r="DK48" t="str">
        <f>""</f>
        <v/>
      </c>
      <c r="DL48" t="str">
        <f>""</f>
        <v/>
      </c>
      <c r="DM48" t="str">
        <f>""</f>
        <v/>
      </c>
      <c r="DN48" t="str">
        <f>""</f>
        <v/>
      </c>
      <c r="DO48" t="str">
        <f>""</f>
        <v/>
      </c>
      <c r="DP48" t="str">
        <f>""</f>
        <v/>
      </c>
      <c r="DQ48" t="str">
        <f>""</f>
        <v/>
      </c>
      <c r="DR48" t="str">
        <f>""</f>
        <v/>
      </c>
      <c r="DS48" t="str">
        <f>""</f>
        <v/>
      </c>
      <c r="DT48" t="str">
        <f>""</f>
        <v/>
      </c>
      <c r="DU48" t="str">
        <f>""</f>
        <v/>
      </c>
    </row>
    <row r="49" spans="1:125" x14ac:dyDescent="0.25">
      <c r="A49" t="str">
        <f>""</f>
        <v/>
      </c>
      <c r="B49" t="str">
        <f>""</f>
        <v/>
      </c>
      <c r="C49" t="str">
        <f>""</f>
        <v/>
      </c>
      <c r="D49" t="str">
        <f>""</f>
        <v/>
      </c>
      <c r="E49" t="str">
        <f>""</f>
        <v/>
      </c>
      <c r="BN49" t="str">
        <f>""</f>
        <v/>
      </c>
      <c r="BO49" t="str">
        <f>""</f>
        <v/>
      </c>
      <c r="BP49" t="str">
        <f>""</f>
        <v/>
      </c>
      <c r="BQ49" t="str">
        <f>""</f>
        <v/>
      </c>
      <c r="BR49" t="str">
        <f>""</f>
        <v/>
      </c>
      <c r="BS49" t="str">
        <f>""</f>
        <v/>
      </c>
      <c r="BT49" t="str">
        <f>""</f>
        <v/>
      </c>
      <c r="BU49" t="str">
        <f>""</f>
        <v/>
      </c>
      <c r="BV49" t="str">
        <f>""</f>
        <v/>
      </c>
      <c r="BW49" t="str">
        <f>""</f>
        <v/>
      </c>
      <c r="BX49" t="str">
        <f>""</f>
        <v/>
      </c>
      <c r="BY49" t="str">
        <f>""</f>
        <v/>
      </c>
      <c r="BZ49" t="str">
        <f>""</f>
        <v/>
      </c>
      <c r="CA49" t="str">
        <f>""</f>
        <v/>
      </c>
      <c r="CB49" t="str">
        <f>""</f>
        <v/>
      </c>
      <c r="CC49" t="str">
        <f>""</f>
        <v/>
      </c>
      <c r="CD49" t="str">
        <f>""</f>
        <v/>
      </c>
      <c r="CE49" t="str">
        <f>""</f>
        <v/>
      </c>
      <c r="CF49" t="str">
        <f>""</f>
        <v/>
      </c>
      <c r="CG49" t="str">
        <f>""</f>
        <v/>
      </c>
      <c r="CH49" t="str">
        <f>""</f>
        <v/>
      </c>
      <c r="CI49" t="str">
        <f>""</f>
        <v/>
      </c>
      <c r="CJ49" t="str">
        <f>""</f>
        <v/>
      </c>
      <c r="CK49" t="str">
        <f>""</f>
        <v/>
      </c>
      <c r="CL49" t="str">
        <f>""</f>
        <v/>
      </c>
      <c r="CM49" t="str">
        <f>""</f>
        <v/>
      </c>
      <c r="CN49" t="str">
        <f>""</f>
        <v/>
      </c>
      <c r="CO49" t="str">
        <f>""</f>
        <v/>
      </c>
      <c r="CP49" t="str">
        <f>""</f>
        <v/>
      </c>
      <c r="CQ49" t="str">
        <f>""</f>
        <v/>
      </c>
      <c r="CR49" t="str">
        <f>""</f>
        <v/>
      </c>
      <c r="CS49" t="str">
        <f>""</f>
        <v/>
      </c>
      <c r="CT49" t="str">
        <f>""</f>
        <v/>
      </c>
      <c r="CU49" t="str">
        <f>""</f>
        <v/>
      </c>
      <c r="CV49" t="str">
        <f>""</f>
        <v/>
      </c>
      <c r="CW49" t="str">
        <f>""</f>
        <v/>
      </c>
      <c r="CX49" t="str">
        <f>""</f>
        <v/>
      </c>
      <c r="CY49" t="str">
        <f>""</f>
        <v/>
      </c>
      <c r="CZ49" t="str">
        <f>""</f>
        <v/>
      </c>
      <c r="DA49" t="str">
        <f>""</f>
        <v/>
      </c>
      <c r="DB49" t="str">
        <f>""</f>
        <v/>
      </c>
      <c r="DC49" t="str">
        <f>""</f>
        <v/>
      </c>
      <c r="DD49" t="str">
        <f>""</f>
        <v/>
      </c>
      <c r="DE49" t="str">
        <f>""</f>
        <v/>
      </c>
      <c r="DF49" t="str">
        <f>""</f>
        <v/>
      </c>
      <c r="DG49" t="str">
        <f>""</f>
        <v/>
      </c>
      <c r="DH49" t="str">
        <f>""</f>
        <v/>
      </c>
      <c r="DI49" t="str">
        <f>""</f>
        <v/>
      </c>
      <c r="DJ49" t="str">
        <f>""</f>
        <v/>
      </c>
      <c r="DK49" t="str">
        <f>""</f>
        <v/>
      </c>
      <c r="DL49" t="str">
        <f>""</f>
        <v/>
      </c>
      <c r="DM49" t="str">
        <f>""</f>
        <v/>
      </c>
      <c r="DN49" t="str">
        <f>""</f>
        <v/>
      </c>
      <c r="DO49" t="str">
        <f>""</f>
        <v/>
      </c>
      <c r="DP49" t="str">
        <f>""</f>
        <v/>
      </c>
      <c r="DQ49" t="str">
        <f>""</f>
        <v/>
      </c>
      <c r="DR49" t="str">
        <f>""</f>
        <v/>
      </c>
      <c r="DS49" t="str">
        <f>""</f>
        <v/>
      </c>
      <c r="DT49" t="str">
        <f>""</f>
        <v/>
      </c>
      <c r="DU49" t="str">
        <f>""</f>
        <v/>
      </c>
    </row>
    <row r="50" spans="1:125" x14ac:dyDescent="0.25">
      <c r="A50" t="str">
        <f>""</f>
        <v/>
      </c>
      <c r="B50" t="str">
        <f>""</f>
        <v/>
      </c>
      <c r="C50" t="str">
        <f>""</f>
        <v/>
      </c>
      <c r="D50" t="str">
        <f>""</f>
        <v/>
      </c>
      <c r="E50" t="str">
        <f>""</f>
        <v/>
      </c>
      <c r="BN50" t="str">
        <f>""</f>
        <v/>
      </c>
      <c r="BO50" t="str">
        <f>""</f>
        <v/>
      </c>
      <c r="BP50" t="str">
        <f>""</f>
        <v/>
      </c>
      <c r="BQ50" t="str">
        <f>""</f>
        <v/>
      </c>
      <c r="BR50" t="str">
        <f>""</f>
        <v/>
      </c>
      <c r="BS50" t="str">
        <f>""</f>
        <v/>
      </c>
      <c r="BT50" t="str">
        <f>""</f>
        <v/>
      </c>
      <c r="BU50" t="str">
        <f>""</f>
        <v/>
      </c>
      <c r="BV50" t="str">
        <f>""</f>
        <v/>
      </c>
      <c r="BW50" t="str">
        <f>""</f>
        <v/>
      </c>
      <c r="BX50" t="str">
        <f>""</f>
        <v/>
      </c>
      <c r="BY50" t="str">
        <f>""</f>
        <v/>
      </c>
      <c r="BZ50" t="str">
        <f>""</f>
        <v/>
      </c>
      <c r="CA50" t="str">
        <f>""</f>
        <v/>
      </c>
      <c r="CB50" t="str">
        <f>""</f>
        <v/>
      </c>
      <c r="CC50" t="str">
        <f>""</f>
        <v/>
      </c>
      <c r="CD50" t="str">
        <f>""</f>
        <v/>
      </c>
      <c r="CE50" t="str">
        <f>""</f>
        <v/>
      </c>
      <c r="CF50" t="str">
        <f>""</f>
        <v/>
      </c>
      <c r="CG50" t="str">
        <f>""</f>
        <v/>
      </c>
      <c r="CH50" t="str">
        <f>""</f>
        <v/>
      </c>
      <c r="CI50" t="str">
        <f>""</f>
        <v/>
      </c>
      <c r="CJ50" t="str">
        <f>""</f>
        <v/>
      </c>
      <c r="CK50" t="str">
        <f>""</f>
        <v/>
      </c>
      <c r="CL50" t="str">
        <f>""</f>
        <v/>
      </c>
      <c r="CM50" t="str">
        <f>""</f>
        <v/>
      </c>
      <c r="CN50" t="str">
        <f>""</f>
        <v/>
      </c>
      <c r="CO50" t="str">
        <f>""</f>
        <v/>
      </c>
      <c r="CP50" t="str">
        <f>""</f>
        <v/>
      </c>
      <c r="CQ50" t="str">
        <f>""</f>
        <v/>
      </c>
      <c r="CR50" t="str">
        <f>""</f>
        <v/>
      </c>
      <c r="CS50" t="str">
        <f>""</f>
        <v/>
      </c>
      <c r="CT50" t="str">
        <f>""</f>
        <v/>
      </c>
      <c r="CU50" t="str">
        <f>""</f>
        <v/>
      </c>
      <c r="CV50" t="str">
        <f>""</f>
        <v/>
      </c>
      <c r="CW50" t="str">
        <f>""</f>
        <v/>
      </c>
      <c r="CX50" t="str">
        <f>""</f>
        <v/>
      </c>
      <c r="CY50" t="str">
        <f>""</f>
        <v/>
      </c>
      <c r="CZ50" t="str">
        <f>""</f>
        <v/>
      </c>
      <c r="DA50" t="str">
        <f>""</f>
        <v/>
      </c>
      <c r="DB50" t="str">
        <f>""</f>
        <v/>
      </c>
      <c r="DC50" t="str">
        <f>""</f>
        <v/>
      </c>
      <c r="DD50" t="str">
        <f>""</f>
        <v/>
      </c>
      <c r="DE50" t="str">
        <f>""</f>
        <v/>
      </c>
      <c r="DF50" t="str">
        <f>""</f>
        <v/>
      </c>
      <c r="DG50" t="str">
        <f>""</f>
        <v/>
      </c>
      <c r="DH50" t="str">
        <f>""</f>
        <v/>
      </c>
      <c r="DI50" t="str">
        <f>""</f>
        <v/>
      </c>
      <c r="DJ50" t="str">
        <f>""</f>
        <v/>
      </c>
      <c r="DK50" t="str">
        <f>""</f>
        <v/>
      </c>
      <c r="DL50" t="str">
        <f>""</f>
        <v/>
      </c>
      <c r="DM50" t="str">
        <f>""</f>
        <v/>
      </c>
      <c r="DN50" t="str">
        <f>""</f>
        <v/>
      </c>
      <c r="DO50" t="str">
        <f>""</f>
        <v/>
      </c>
      <c r="DP50" t="str">
        <f>""</f>
        <v/>
      </c>
      <c r="DQ50" t="str">
        <f>""</f>
        <v/>
      </c>
      <c r="DR50" t="str">
        <f>""</f>
        <v/>
      </c>
      <c r="DS50" t="str">
        <f>""</f>
        <v/>
      </c>
      <c r="DT50" t="str">
        <f>""</f>
        <v/>
      </c>
      <c r="DU50" t="str">
        <f>""</f>
        <v/>
      </c>
    </row>
    <row r="51" spans="1:125" x14ac:dyDescent="0.25">
      <c r="A51" t="str">
        <f>"~~~~~~~~~~~~~~~~~~~~~"</f>
        <v>~~~~~~~~~~~~~~~~~~~~~</v>
      </c>
      <c r="B51" t="str">
        <f>"~~~~~~~~~~~~~~~~~~~~~"</f>
        <v>~~~~~~~~~~~~~~~~~~~~~</v>
      </c>
      <c r="C51" t="str">
        <f>"~~~~~~~~~~~~~~~~~~~~~"</f>
        <v>~~~~~~~~~~~~~~~~~~~~~</v>
      </c>
      <c r="D51" t="str">
        <f>"~~~~~~~~~~~~~~~~~~~~~"</f>
        <v>~~~~~~~~~~~~~~~~~~~~~</v>
      </c>
      <c r="E51" t="str">
        <f>"~~~~~~~~~~~~~~~~~~~~~"</f>
        <v>~~~~~~~~~~~~~~~~~~~~~</v>
      </c>
      <c r="BN51" t="str">
        <f>""</f>
        <v/>
      </c>
      <c r="BO51" t="str">
        <f>""</f>
        <v/>
      </c>
      <c r="BP51" t="str">
        <f>""</f>
        <v/>
      </c>
      <c r="BQ51" t="str">
        <f>""</f>
        <v/>
      </c>
      <c r="BR51" t="str">
        <f>""</f>
        <v/>
      </c>
      <c r="BS51" t="str">
        <f>""</f>
        <v/>
      </c>
      <c r="BT51" t="str">
        <f>""</f>
        <v/>
      </c>
      <c r="BU51" t="str">
        <f>""</f>
        <v/>
      </c>
      <c r="BV51" t="str">
        <f>""</f>
        <v/>
      </c>
      <c r="BW51" t="str">
        <f>""</f>
        <v/>
      </c>
      <c r="BX51" t="str">
        <f>""</f>
        <v/>
      </c>
      <c r="BY51" t="str">
        <f>""</f>
        <v/>
      </c>
      <c r="BZ51" t="str">
        <f>""</f>
        <v/>
      </c>
      <c r="CA51" t="str">
        <f>""</f>
        <v/>
      </c>
      <c r="CB51" t="str">
        <f>""</f>
        <v/>
      </c>
      <c r="CC51" t="str">
        <f>""</f>
        <v/>
      </c>
      <c r="CD51" t="str">
        <f>""</f>
        <v/>
      </c>
      <c r="CE51" t="str">
        <f>""</f>
        <v/>
      </c>
      <c r="CF51" t="str">
        <f>""</f>
        <v/>
      </c>
      <c r="CG51" t="str">
        <f>""</f>
        <v/>
      </c>
      <c r="CH51" t="str">
        <f>""</f>
        <v/>
      </c>
      <c r="CI51" t="str">
        <f>""</f>
        <v/>
      </c>
      <c r="CJ51" t="str">
        <f>""</f>
        <v/>
      </c>
      <c r="CK51" t="str">
        <f>""</f>
        <v/>
      </c>
      <c r="CL51" t="str">
        <f>""</f>
        <v/>
      </c>
      <c r="CM51" t="str">
        <f>""</f>
        <v/>
      </c>
      <c r="CN51" t="str">
        <f>""</f>
        <v/>
      </c>
      <c r="CO51" t="str">
        <f>""</f>
        <v/>
      </c>
      <c r="CP51" t="str">
        <f>""</f>
        <v/>
      </c>
      <c r="CQ51" t="str">
        <f>""</f>
        <v/>
      </c>
      <c r="CR51" t="str">
        <f>""</f>
        <v/>
      </c>
      <c r="CS51" t="str">
        <f>""</f>
        <v/>
      </c>
      <c r="CT51" t="str">
        <f>""</f>
        <v/>
      </c>
      <c r="CU51" t="str">
        <f>""</f>
        <v/>
      </c>
      <c r="CV51" t="str">
        <f>""</f>
        <v/>
      </c>
      <c r="CW51" t="str">
        <f>""</f>
        <v/>
      </c>
      <c r="CX51" t="str">
        <f>""</f>
        <v/>
      </c>
      <c r="CY51" t="str">
        <f>""</f>
        <v/>
      </c>
      <c r="CZ51" t="str">
        <f>""</f>
        <v/>
      </c>
      <c r="DA51" t="str">
        <f>""</f>
        <v/>
      </c>
      <c r="DB51" t="str">
        <f>""</f>
        <v/>
      </c>
      <c r="DC51" t="str">
        <f>""</f>
        <v/>
      </c>
      <c r="DD51" t="str">
        <f>""</f>
        <v/>
      </c>
      <c r="DE51" t="str">
        <f>""</f>
        <v/>
      </c>
      <c r="DF51" t="str">
        <f>""</f>
        <v/>
      </c>
      <c r="DG51" t="str">
        <f>""</f>
        <v/>
      </c>
      <c r="DH51" t="str">
        <f>""</f>
        <v/>
      </c>
      <c r="DI51" t="str">
        <f>""</f>
        <v/>
      </c>
      <c r="DJ51" t="str">
        <f>""</f>
        <v/>
      </c>
      <c r="DK51" t="str">
        <f>""</f>
        <v/>
      </c>
      <c r="DL51" t="str">
        <f>""</f>
        <v/>
      </c>
      <c r="DM51" t="str">
        <f>""</f>
        <v/>
      </c>
      <c r="DN51" t="str">
        <f>""</f>
        <v/>
      </c>
      <c r="DO51" t="str">
        <f>""</f>
        <v/>
      </c>
      <c r="DP51" t="str">
        <f>""</f>
        <v/>
      </c>
      <c r="DQ51" t="str">
        <f>""</f>
        <v/>
      </c>
      <c r="DR51" t="str">
        <f>""</f>
        <v/>
      </c>
      <c r="DS51" t="str">
        <f>""</f>
        <v/>
      </c>
      <c r="DT51" t="str">
        <f>""</f>
        <v/>
      </c>
      <c r="DU51" t="str">
        <f>""</f>
        <v/>
      </c>
    </row>
    <row r="52" spans="1:125" x14ac:dyDescent="0.25">
      <c r="A52" t="str">
        <f>"Rows below for column date calculation"</f>
        <v>Rows below for column date calculation</v>
      </c>
      <c r="BN52" t="str">
        <f>""</f>
        <v/>
      </c>
      <c r="BO52" t="str">
        <f>""</f>
        <v/>
      </c>
      <c r="BP52" t="str">
        <f>""</f>
        <v/>
      </c>
      <c r="BQ52" t="str">
        <f>""</f>
        <v/>
      </c>
      <c r="BR52" t="str">
        <f>""</f>
        <v/>
      </c>
      <c r="BS52" t="str">
        <f>""</f>
        <v/>
      </c>
      <c r="BT52" t="str">
        <f>""</f>
        <v/>
      </c>
      <c r="BU52" t="str">
        <f>""</f>
        <v/>
      </c>
      <c r="BV52" t="str">
        <f>""</f>
        <v/>
      </c>
      <c r="BW52" t="str">
        <f>""</f>
        <v/>
      </c>
      <c r="BX52" t="str">
        <f>""</f>
        <v/>
      </c>
      <c r="BY52" t="str">
        <f>""</f>
        <v/>
      </c>
      <c r="BZ52" t="str">
        <f>""</f>
        <v/>
      </c>
      <c r="CA52" t="str">
        <f>""</f>
        <v/>
      </c>
      <c r="CB52" t="str">
        <f>""</f>
        <v/>
      </c>
      <c r="CC52" t="str">
        <f>""</f>
        <v/>
      </c>
      <c r="CD52" t="str">
        <f>""</f>
        <v/>
      </c>
      <c r="CE52" t="str">
        <f>""</f>
        <v/>
      </c>
      <c r="CF52" t="str">
        <f>""</f>
        <v/>
      </c>
      <c r="CG52" t="str">
        <f>""</f>
        <v/>
      </c>
      <c r="CH52" t="str">
        <f>""</f>
        <v/>
      </c>
      <c r="CI52" t="str">
        <f>""</f>
        <v/>
      </c>
      <c r="CJ52" t="str">
        <f>""</f>
        <v/>
      </c>
      <c r="CK52" t="str">
        <f>""</f>
        <v/>
      </c>
      <c r="CL52" t="str">
        <f>""</f>
        <v/>
      </c>
      <c r="CM52" t="str">
        <f>""</f>
        <v/>
      </c>
      <c r="CN52" t="str">
        <f>""</f>
        <v/>
      </c>
      <c r="CO52" t="str">
        <f>""</f>
        <v/>
      </c>
      <c r="CP52" t="str">
        <f>""</f>
        <v/>
      </c>
      <c r="CQ52" t="str">
        <f>""</f>
        <v/>
      </c>
      <c r="CR52" t="str">
        <f>""</f>
        <v/>
      </c>
      <c r="CS52" t="str">
        <f>""</f>
        <v/>
      </c>
      <c r="CT52" t="str">
        <f>""</f>
        <v/>
      </c>
      <c r="CU52" t="str">
        <f>""</f>
        <v/>
      </c>
      <c r="CV52" t="str">
        <f>""</f>
        <v/>
      </c>
      <c r="CW52" t="str">
        <f>""</f>
        <v/>
      </c>
      <c r="CX52" t="str">
        <f>""</f>
        <v/>
      </c>
      <c r="CY52" t="str">
        <f>""</f>
        <v/>
      </c>
      <c r="CZ52" t="str">
        <f>""</f>
        <v/>
      </c>
      <c r="DA52" t="str">
        <f>""</f>
        <v/>
      </c>
      <c r="DB52" t="str">
        <f>""</f>
        <v/>
      </c>
      <c r="DC52" t="str">
        <f>""</f>
        <v/>
      </c>
      <c r="DD52" t="str">
        <f>""</f>
        <v/>
      </c>
      <c r="DE52" t="str">
        <f>""</f>
        <v/>
      </c>
      <c r="DF52" t="str">
        <f>""</f>
        <v/>
      </c>
      <c r="DG52" t="str">
        <f>""</f>
        <v/>
      </c>
      <c r="DH52" t="str">
        <f>""</f>
        <v/>
      </c>
      <c r="DI52" t="str">
        <f>""</f>
        <v/>
      </c>
      <c r="DJ52" t="str">
        <f>""</f>
        <v/>
      </c>
      <c r="DK52" t="str">
        <f>""</f>
        <v/>
      </c>
      <c r="DL52" t="str">
        <f>""</f>
        <v/>
      </c>
      <c r="DM52" t="str">
        <f>""</f>
        <v/>
      </c>
      <c r="DN52" t="str">
        <f>""</f>
        <v/>
      </c>
      <c r="DO52" t="str">
        <f>""</f>
        <v/>
      </c>
      <c r="DP52" t="str">
        <f>""</f>
        <v/>
      </c>
      <c r="DQ52" t="str">
        <f>""</f>
        <v/>
      </c>
      <c r="DR52" t="str">
        <f>""</f>
        <v/>
      </c>
      <c r="DS52" t="str">
        <f>""</f>
        <v/>
      </c>
      <c r="DT52" t="str">
        <f>""</f>
        <v/>
      </c>
      <c r="DU52" t="str">
        <f>""</f>
        <v/>
      </c>
    </row>
    <row r="53" spans="1:125" x14ac:dyDescent="0.25">
      <c r="A53" t="str">
        <f>"Downloaded at"</f>
        <v>Downloaded at</v>
      </c>
      <c r="B53">
        <f>DATE(2025, 10,15)</f>
        <v>45945</v>
      </c>
      <c r="C53" t="str">
        <f>""</f>
        <v/>
      </c>
      <c r="D53" t="str">
        <f>""</f>
        <v/>
      </c>
      <c r="E53" t="str">
        <f>""</f>
        <v/>
      </c>
      <c r="BN53" t="str">
        <f>""</f>
        <v/>
      </c>
      <c r="BO53" t="str">
        <f>""</f>
        <v/>
      </c>
      <c r="BP53" t="str">
        <f>""</f>
        <v/>
      </c>
      <c r="BQ53" t="str">
        <f>""</f>
        <v/>
      </c>
      <c r="BR53" t="str">
        <f>""</f>
        <v/>
      </c>
      <c r="BS53" t="str">
        <f>""</f>
        <v/>
      </c>
      <c r="BT53" t="str">
        <f>""</f>
        <v/>
      </c>
      <c r="BU53" t="str">
        <f>""</f>
        <v/>
      </c>
      <c r="BV53" t="str">
        <f>""</f>
        <v/>
      </c>
      <c r="BW53" t="str">
        <f>""</f>
        <v/>
      </c>
      <c r="BX53" t="str">
        <f>""</f>
        <v/>
      </c>
      <c r="BY53" t="str">
        <f>""</f>
        <v/>
      </c>
      <c r="BZ53" t="str">
        <f>""</f>
        <v/>
      </c>
      <c r="CA53" t="str">
        <f>""</f>
        <v/>
      </c>
      <c r="CB53" t="str">
        <f>""</f>
        <v/>
      </c>
      <c r="CC53" t="str">
        <f>""</f>
        <v/>
      </c>
      <c r="CD53" t="str">
        <f>""</f>
        <v/>
      </c>
      <c r="CE53" t="str">
        <f>""</f>
        <v/>
      </c>
      <c r="CF53" t="str">
        <f>""</f>
        <v/>
      </c>
      <c r="CG53" t="str">
        <f>""</f>
        <v/>
      </c>
      <c r="CH53" t="str">
        <f>""</f>
        <v/>
      </c>
      <c r="CI53" t="str">
        <f>""</f>
        <v/>
      </c>
      <c r="CJ53" t="str">
        <f>""</f>
        <v/>
      </c>
      <c r="CK53" t="str">
        <f>""</f>
        <v/>
      </c>
      <c r="CL53" t="str">
        <f>""</f>
        <v/>
      </c>
      <c r="CM53" t="str">
        <f>""</f>
        <v/>
      </c>
      <c r="CN53" t="str">
        <f>""</f>
        <v/>
      </c>
      <c r="CO53" t="str">
        <f>""</f>
        <v/>
      </c>
      <c r="CP53" t="str">
        <f>""</f>
        <v/>
      </c>
      <c r="CQ53" t="str">
        <f>""</f>
        <v/>
      </c>
      <c r="CR53" t="str">
        <f>""</f>
        <v/>
      </c>
      <c r="CS53" t="str">
        <f>""</f>
        <v/>
      </c>
      <c r="CT53" t="str">
        <f>""</f>
        <v/>
      </c>
      <c r="CU53" t="str">
        <f>""</f>
        <v/>
      </c>
      <c r="CV53" t="str">
        <f>""</f>
        <v/>
      </c>
      <c r="CW53" t="str">
        <f>""</f>
        <v/>
      </c>
      <c r="CX53" t="str">
        <f>""</f>
        <v/>
      </c>
      <c r="CY53" t="str">
        <f>""</f>
        <v/>
      </c>
      <c r="CZ53" t="str">
        <f>""</f>
        <v/>
      </c>
      <c r="DA53" t="str">
        <f>""</f>
        <v/>
      </c>
      <c r="DB53" t="str">
        <f>""</f>
        <v/>
      </c>
      <c r="DC53" t="str">
        <f>""</f>
        <v/>
      </c>
      <c r="DD53" t="str">
        <f>""</f>
        <v/>
      </c>
      <c r="DE53" t="str">
        <f>""</f>
        <v/>
      </c>
      <c r="DF53" t="str">
        <f>""</f>
        <v/>
      </c>
      <c r="DG53" t="str">
        <f>""</f>
        <v/>
      </c>
      <c r="DH53" t="str">
        <f>""</f>
        <v/>
      </c>
      <c r="DI53" t="str">
        <f>""</f>
        <v/>
      </c>
      <c r="DJ53" t="str">
        <f>""</f>
        <v/>
      </c>
      <c r="DK53" t="str">
        <f>""</f>
        <v/>
      </c>
      <c r="DL53" t="str">
        <f>""</f>
        <v/>
      </c>
      <c r="DM53" t="str">
        <f>""</f>
        <v/>
      </c>
      <c r="DN53" t="str">
        <f>""</f>
        <v/>
      </c>
      <c r="DO53" t="str">
        <f>""</f>
        <v/>
      </c>
      <c r="DP53" t="str">
        <f>""</f>
        <v/>
      </c>
      <c r="DQ53" t="str">
        <f>""</f>
        <v/>
      </c>
      <c r="DR53" t="str">
        <f>""</f>
        <v/>
      </c>
      <c r="DS53" t="str">
        <f>""</f>
        <v/>
      </c>
      <c r="DT53" t="str">
        <f>""</f>
        <v/>
      </c>
      <c r="DU53" t="str">
        <f>""</f>
        <v/>
      </c>
    </row>
    <row r="54" spans="1:125" x14ac:dyDescent="0.25">
      <c r="A54" t="str">
        <f>"This is End Date"</f>
        <v>This is End Date</v>
      </c>
      <c r="B54">
        <f ca="1">$B$30</f>
        <v>45945</v>
      </c>
      <c r="C54" t="str">
        <f>""</f>
        <v/>
      </c>
      <c r="D54" t="str">
        <f>""</f>
        <v/>
      </c>
      <c r="E54" t="str">
        <f>""</f>
        <v/>
      </c>
      <c r="BN54" t="str">
        <f>""</f>
        <v/>
      </c>
      <c r="BO54" t="str">
        <f>""</f>
        <v/>
      </c>
      <c r="BP54" t="str">
        <f>""</f>
        <v/>
      </c>
      <c r="BQ54" t="str">
        <f>""</f>
        <v/>
      </c>
      <c r="BR54" t="str">
        <f>""</f>
        <v/>
      </c>
      <c r="BS54" t="str">
        <f>""</f>
        <v/>
      </c>
      <c r="BT54" t="str">
        <f>""</f>
        <v/>
      </c>
      <c r="BU54" t="str">
        <f>""</f>
        <v/>
      </c>
      <c r="BV54" t="str">
        <f>""</f>
        <v/>
      </c>
      <c r="BW54" t="str">
        <f>""</f>
        <v/>
      </c>
      <c r="BX54" t="str">
        <f>""</f>
        <v/>
      </c>
      <c r="BY54" t="str">
        <f>""</f>
        <v/>
      </c>
      <c r="BZ54" t="str">
        <f>""</f>
        <v/>
      </c>
      <c r="CA54" t="str">
        <f>""</f>
        <v/>
      </c>
      <c r="CB54" t="str">
        <f>""</f>
        <v/>
      </c>
      <c r="CC54" t="str">
        <f>""</f>
        <v/>
      </c>
      <c r="CD54" t="str">
        <f>""</f>
        <v/>
      </c>
      <c r="CE54" t="str">
        <f>""</f>
        <v/>
      </c>
      <c r="CF54" t="str">
        <f>""</f>
        <v/>
      </c>
      <c r="CG54" t="str">
        <f>""</f>
        <v/>
      </c>
      <c r="CH54" t="str">
        <f>""</f>
        <v/>
      </c>
      <c r="CI54" t="str">
        <f>""</f>
        <v/>
      </c>
      <c r="CJ54" t="str">
        <f>""</f>
        <v/>
      </c>
      <c r="CK54" t="str">
        <f>""</f>
        <v/>
      </c>
      <c r="CL54" t="str">
        <f>""</f>
        <v/>
      </c>
      <c r="CM54" t="str">
        <f>""</f>
        <v/>
      </c>
      <c r="CN54" t="str">
        <f>""</f>
        <v/>
      </c>
      <c r="CO54" t="str">
        <f>""</f>
        <v/>
      </c>
      <c r="CP54" t="str">
        <f>""</f>
        <v/>
      </c>
      <c r="CQ54" t="str">
        <f>""</f>
        <v/>
      </c>
      <c r="CR54" t="str">
        <f>""</f>
        <v/>
      </c>
      <c r="CS54" t="str">
        <f>""</f>
        <v/>
      </c>
      <c r="CT54" t="str">
        <f>""</f>
        <v/>
      </c>
      <c r="CU54" t="str">
        <f>""</f>
        <v/>
      </c>
      <c r="CV54" t="str">
        <f>""</f>
        <v/>
      </c>
      <c r="CW54" t="str">
        <f>""</f>
        <v/>
      </c>
      <c r="CX54" t="str">
        <f>""</f>
        <v/>
      </c>
      <c r="CY54" t="str">
        <f>""</f>
        <v/>
      </c>
      <c r="CZ54" t="str">
        <f>""</f>
        <v/>
      </c>
      <c r="DA54" t="str">
        <f>""</f>
        <v/>
      </c>
      <c r="DB54" t="str">
        <f>""</f>
        <v/>
      </c>
      <c r="DC54" t="str">
        <f>""</f>
        <v/>
      </c>
      <c r="DD54" t="str">
        <f>""</f>
        <v/>
      </c>
      <c r="DE54" t="str">
        <f>""</f>
        <v/>
      </c>
      <c r="DF54" t="str">
        <f>""</f>
        <v/>
      </c>
      <c r="DG54" t="str">
        <f>""</f>
        <v/>
      </c>
      <c r="DH54" t="str">
        <f>""</f>
        <v/>
      </c>
      <c r="DI54" t="str">
        <f>""</f>
        <v/>
      </c>
      <c r="DJ54" t="str">
        <f>""</f>
        <v/>
      </c>
      <c r="DK54" t="str">
        <f>""</f>
        <v/>
      </c>
      <c r="DL54" t="str">
        <f>""</f>
        <v/>
      </c>
      <c r="DM54" t="str">
        <f>""</f>
        <v/>
      </c>
      <c r="DN54" t="str">
        <f>""</f>
        <v/>
      </c>
      <c r="DO54" t="str">
        <f>""</f>
        <v/>
      </c>
      <c r="DP54" t="str">
        <f>""</f>
        <v/>
      </c>
      <c r="DQ54" t="str">
        <f>""</f>
        <v/>
      </c>
      <c r="DR54" t="str">
        <f>""</f>
        <v/>
      </c>
      <c r="DS54" t="str">
        <f>""</f>
        <v/>
      </c>
      <c r="DT54" t="str">
        <f>""</f>
        <v/>
      </c>
      <c r="DU54" t="str">
        <f>""</f>
        <v/>
      </c>
    </row>
    <row r="55" spans="1:125" x14ac:dyDescent="0.25">
      <c r="A55" t="str">
        <f>"Description"</f>
        <v>Description</v>
      </c>
      <c r="B55" t="str">
        <f>"Ticker"</f>
        <v>Ticker</v>
      </c>
      <c r="C55" t="str">
        <f>"Field ID"</f>
        <v>Field ID</v>
      </c>
      <c r="D55" t="str">
        <f>"Field Mnemonic"</f>
        <v>Field Mnemonic</v>
      </c>
      <c r="E55" t="str">
        <f>"Data State"</f>
        <v>Data State</v>
      </c>
      <c r="BN55" t="str">
        <f>""</f>
        <v/>
      </c>
      <c r="BO55" t="str">
        <f>""</f>
        <v/>
      </c>
      <c r="BP55" t="str">
        <f>""</f>
        <v/>
      </c>
      <c r="BQ55" t="str">
        <f>""</f>
        <v/>
      </c>
      <c r="BR55" t="str">
        <f>""</f>
        <v/>
      </c>
      <c r="BS55" t="str">
        <f>""</f>
        <v/>
      </c>
      <c r="BT55" t="str">
        <f>""</f>
        <v/>
      </c>
      <c r="BU55" t="str">
        <f>""</f>
        <v/>
      </c>
      <c r="BV55" t="str">
        <f>""</f>
        <v/>
      </c>
      <c r="BW55" t="str">
        <f>""</f>
        <v/>
      </c>
      <c r="BX55" t="str">
        <f>""</f>
        <v/>
      </c>
      <c r="BY55" t="str">
        <f>""</f>
        <v/>
      </c>
      <c r="BZ55" t="str">
        <f>""</f>
        <v/>
      </c>
      <c r="CA55" t="str">
        <f>""</f>
        <v/>
      </c>
      <c r="CB55" t="str">
        <f>""</f>
        <v/>
      </c>
      <c r="CC55" t="str">
        <f>""</f>
        <v/>
      </c>
      <c r="CD55" t="str">
        <f>""</f>
        <v/>
      </c>
      <c r="CE55" t="str">
        <f>""</f>
        <v/>
      </c>
      <c r="CF55" t="str">
        <f>""</f>
        <v/>
      </c>
      <c r="CG55" t="str">
        <f>""</f>
        <v/>
      </c>
      <c r="CH55" t="str">
        <f>""</f>
        <v/>
      </c>
      <c r="CI55" t="str">
        <f>""</f>
        <v/>
      </c>
      <c r="CJ55" t="str">
        <f>""</f>
        <v/>
      </c>
      <c r="CK55" t="str">
        <f>""</f>
        <v/>
      </c>
      <c r="CL55" t="str">
        <f>""</f>
        <v/>
      </c>
      <c r="CM55" t="str">
        <f>""</f>
        <v/>
      </c>
      <c r="CN55" t="str">
        <f>""</f>
        <v/>
      </c>
      <c r="CO55" t="str">
        <f>""</f>
        <v/>
      </c>
      <c r="CP55" t="str">
        <f>""</f>
        <v/>
      </c>
      <c r="CQ55" t="str">
        <f>""</f>
        <v/>
      </c>
      <c r="CR55" t="str">
        <f>""</f>
        <v/>
      </c>
      <c r="CS55" t="str">
        <f>""</f>
        <v/>
      </c>
      <c r="CT55" t="str">
        <f>""</f>
        <v/>
      </c>
      <c r="CU55" t="str">
        <f>""</f>
        <v/>
      </c>
      <c r="CV55" t="str">
        <f>""</f>
        <v/>
      </c>
      <c r="CW55" t="str">
        <f>""</f>
        <v/>
      </c>
      <c r="CX55" t="str">
        <f>""</f>
        <v/>
      </c>
      <c r="CY55" t="str">
        <f>""</f>
        <v/>
      </c>
      <c r="CZ55" t="str">
        <f>""</f>
        <v/>
      </c>
      <c r="DA55" t="str">
        <f>""</f>
        <v/>
      </c>
      <c r="DB55" t="str">
        <f>""</f>
        <v/>
      </c>
      <c r="DC55" t="str">
        <f>""</f>
        <v/>
      </c>
      <c r="DD55" t="str">
        <f>""</f>
        <v/>
      </c>
      <c r="DE55" t="str">
        <f>""</f>
        <v/>
      </c>
      <c r="DF55" t="str">
        <f>""</f>
        <v/>
      </c>
      <c r="DG55" t="str">
        <f>""</f>
        <v/>
      </c>
      <c r="DH55" t="str">
        <f>""</f>
        <v/>
      </c>
      <c r="DI55" t="str">
        <f>""</f>
        <v/>
      </c>
      <c r="DJ55" t="str">
        <f>""</f>
        <v/>
      </c>
      <c r="DK55" t="str">
        <f>""</f>
        <v/>
      </c>
      <c r="DL55" t="str">
        <f>""</f>
        <v/>
      </c>
      <c r="DM55" t="str">
        <f>""</f>
        <v/>
      </c>
      <c r="DN55" t="str">
        <f>""</f>
        <v/>
      </c>
      <c r="DO55" t="str">
        <f>""</f>
        <v/>
      </c>
      <c r="DP55" t="str">
        <f>""</f>
        <v/>
      </c>
      <c r="DQ55" t="str">
        <f>""</f>
        <v/>
      </c>
      <c r="DR55" t="str">
        <f>""</f>
        <v/>
      </c>
      <c r="DS55" t="str">
        <f>""</f>
        <v/>
      </c>
      <c r="DT55" t="str">
        <f>""</f>
        <v/>
      </c>
      <c r="DU55" t="str">
        <f>""</f>
        <v/>
      </c>
    </row>
    <row r="56" spans="1:125" x14ac:dyDescent="0.25">
      <c r="A56" t="str">
        <f>"Snapshot Date"</f>
        <v>Snapshot Date</v>
      </c>
      <c r="B56">
        <f>DATE(2025, 10,15)</f>
        <v>45945</v>
      </c>
      <c r="C56" t="str">
        <f>""</f>
        <v/>
      </c>
      <c r="D56" t="str">
        <f>""</f>
        <v/>
      </c>
      <c r="E56" t="str">
        <f>""</f>
        <v/>
      </c>
      <c r="BN56" t="str">
        <f>""</f>
        <v/>
      </c>
      <c r="BO56" t="str">
        <f>""</f>
        <v/>
      </c>
      <c r="BP56" t="str">
        <f>""</f>
        <v/>
      </c>
      <c r="BQ56" t="str">
        <f>""</f>
        <v/>
      </c>
      <c r="BR56" t="str">
        <f>""</f>
        <v/>
      </c>
      <c r="BS56" t="str">
        <f>""</f>
        <v/>
      </c>
      <c r="BT56" t="str">
        <f>""</f>
        <v/>
      </c>
      <c r="BU56" t="str">
        <f>""</f>
        <v/>
      </c>
      <c r="BV56" t="str">
        <f>""</f>
        <v/>
      </c>
      <c r="BW56" t="str">
        <f>""</f>
        <v/>
      </c>
      <c r="BX56" t="str">
        <f>""</f>
        <v/>
      </c>
      <c r="BY56" t="str">
        <f>""</f>
        <v/>
      </c>
      <c r="BZ56" t="str">
        <f>""</f>
        <v/>
      </c>
      <c r="CA56" t="str">
        <f>""</f>
        <v/>
      </c>
      <c r="CB56" t="str">
        <f>""</f>
        <v/>
      </c>
      <c r="CC56" t="str">
        <f>""</f>
        <v/>
      </c>
      <c r="CD56" t="str">
        <f>""</f>
        <v/>
      </c>
      <c r="CE56" t="str">
        <f>""</f>
        <v/>
      </c>
      <c r="CF56" t="str">
        <f>""</f>
        <v/>
      </c>
      <c r="CG56" t="str">
        <f>""</f>
        <v/>
      </c>
      <c r="CH56" t="str">
        <f>""</f>
        <v/>
      </c>
      <c r="CI56" t="str">
        <f>""</f>
        <v/>
      </c>
      <c r="CJ56" t="str">
        <f>""</f>
        <v/>
      </c>
      <c r="CK56" t="str">
        <f>""</f>
        <v/>
      </c>
      <c r="CL56" t="str">
        <f>""</f>
        <v/>
      </c>
      <c r="CM56" t="str">
        <f>""</f>
        <v/>
      </c>
      <c r="CN56" t="str">
        <f>""</f>
        <v/>
      </c>
      <c r="CO56" t="str">
        <f>""</f>
        <v/>
      </c>
      <c r="CP56" t="str">
        <f>""</f>
        <v/>
      </c>
      <c r="CQ56" t="str">
        <f>""</f>
        <v/>
      </c>
      <c r="CR56" t="str">
        <f>""</f>
        <v/>
      </c>
      <c r="CS56" t="str">
        <f>""</f>
        <v/>
      </c>
      <c r="CT56" t="str">
        <f>""</f>
        <v/>
      </c>
      <c r="CU56" t="str">
        <f>""</f>
        <v/>
      </c>
      <c r="CV56" t="str">
        <f>""</f>
        <v/>
      </c>
      <c r="CW56" t="str">
        <f>""</f>
        <v/>
      </c>
      <c r="CX56" t="str">
        <f>""</f>
        <v/>
      </c>
      <c r="CY56" t="str">
        <f>""</f>
        <v/>
      </c>
      <c r="CZ56" t="str">
        <f>""</f>
        <v/>
      </c>
      <c r="DA56" t="str">
        <f>""</f>
        <v/>
      </c>
      <c r="DB56" t="str">
        <f>""</f>
        <v/>
      </c>
      <c r="DC56" t="str">
        <f>""</f>
        <v/>
      </c>
      <c r="DD56" t="str">
        <f>""</f>
        <v/>
      </c>
      <c r="DE56" t="str">
        <f>""</f>
        <v/>
      </c>
      <c r="DF56" t="str">
        <f>""</f>
        <v/>
      </c>
      <c r="DG56" t="str">
        <f>""</f>
        <v/>
      </c>
      <c r="DH56" t="str">
        <f>""</f>
        <v/>
      </c>
      <c r="DI56" t="str">
        <f>""</f>
        <v/>
      </c>
      <c r="DJ56" t="str">
        <f>""</f>
        <v/>
      </c>
      <c r="DK56" t="str">
        <f>""</f>
        <v/>
      </c>
      <c r="DL56" t="str">
        <f>""</f>
        <v/>
      </c>
      <c r="DM56" t="str">
        <f>""</f>
        <v/>
      </c>
      <c r="DN56" t="str">
        <f>""</f>
        <v/>
      </c>
      <c r="DO56" t="str">
        <f>""</f>
        <v/>
      </c>
      <c r="DP56" t="str">
        <f>""</f>
        <v/>
      </c>
      <c r="DQ56" t="str">
        <f>""</f>
        <v/>
      </c>
      <c r="DR56" t="str">
        <f>""</f>
        <v/>
      </c>
      <c r="DS56" t="str">
        <f>""</f>
        <v/>
      </c>
      <c r="DT56" t="str">
        <f>""</f>
        <v/>
      </c>
      <c r="DU56" t="str">
        <f>""</f>
        <v/>
      </c>
    </row>
    <row r="57" spans="1:125" x14ac:dyDescent="0.25">
      <c r="A57" t="str">
        <f>"Snapshot header"</f>
        <v>Snapshot header</v>
      </c>
      <c r="B57">
        <f>2</f>
        <v>2</v>
      </c>
      <c r="C57" t="str">
        <f>"2025 Q2"</f>
        <v>2025 Q2</v>
      </c>
      <c r="D57" t="str">
        <f>"2025 Q1"</f>
        <v>2025 Q1</v>
      </c>
      <c r="E57" t="str">
        <f>"2024 Q4"</f>
        <v>2024 Q4</v>
      </c>
      <c r="F57" t="str">
        <f>"2024 Q3"</f>
        <v>2024 Q3</v>
      </c>
      <c r="G57" t="str">
        <f>"2024 Q2"</f>
        <v>2024 Q2</v>
      </c>
      <c r="H57" t="str">
        <f>"2024 Q1"</f>
        <v>2024 Q1</v>
      </c>
      <c r="I57" t="str">
        <f>"2023 Q4"</f>
        <v>2023 Q4</v>
      </c>
      <c r="J57" t="str">
        <f>"2023 Q3"</f>
        <v>2023 Q3</v>
      </c>
      <c r="K57" t="str">
        <f>"2023 Q2"</f>
        <v>2023 Q2</v>
      </c>
      <c r="L57" t="str">
        <f>"2023 Q1"</f>
        <v>2023 Q1</v>
      </c>
      <c r="M57" t="str">
        <f>"2022 Q4"</f>
        <v>2022 Q4</v>
      </c>
      <c r="N57" t="str">
        <f>"2022 Q3"</f>
        <v>2022 Q3</v>
      </c>
      <c r="O57" t="str">
        <f>"2022 Q2"</f>
        <v>2022 Q2</v>
      </c>
      <c r="P57" t="str">
        <f>"2022 Q1"</f>
        <v>2022 Q1</v>
      </c>
      <c r="Q57" t="str">
        <f>"2021 Q4"</f>
        <v>2021 Q4</v>
      </c>
      <c r="R57" t="str">
        <f>"2021 Q3"</f>
        <v>2021 Q3</v>
      </c>
      <c r="S57" t="str">
        <f>"2021 Q2"</f>
        <v>2021 Q2</v>
      </c>
      <c r="T57" t="str">
        <f>"2021 Q1"</f>
        <v>2021 Q1</v>
      </c>
      <c r="U57" t="str">
        <f>"2020 Q4"</f>
        <v>2020 Q4</v>
      </c>
      <c r="V57" t="str">
        <f>"2020 Q3"</f>
        <v>2020 Q3</v>
      </c>
      <c r="W57" t="str">
        <f>"2020 Q2"</f>
        <v>2020 Q2</v>
      </c>
      <c r="X57" t="str">
        <f>"2020 Q1"</f>
        <v>2020 Q1</v>
      </c>
      <c r="Y57" t="str">
        <f>"2019 Q4"</f>
        <v>2019 Q4</v>
      </c>
      <c r="Z57" t="str">
        <f>"2019 Q3"</f>
        <v>2019 Q3</v>
      </c>
      <c r="AA57" t="str">
        <f>"2019 Q2"</f>
        <v>2019 Q2</v>
      </c>
      <c r="AB57" t="str">
        <f>"2019 Q1"</f>
        <v>2019 Q1</v>
      </c>
      <c r="AC57" t="str">
        <f>"2018 Q4"</f>
        <v>2018 Q4</v>
      </c>
      <c r="AD57" t="str">
        <f>"2018 Q3"</f>
        <v>2018 Q3</v>
      </c>
      <c r="AE57" t="str">
        <f>"2018 Q2"</f>
        <v>2018 Q2</v>
      </c>
      <c r="AF57" t="str">
        <f>"2018 Q1"</f>
        <v>2018 Q1</v>
      </c>
      <c r="AG57" t="str">
        <f>"2017 Q4"</f>
        <v>2017 Q4</v>
      </c>
      <c r="AH57" t="str">
        <f>"2017 Q3"</f>
        <v>2017 Q3</v>
      </c>
      <c r="AI57" t="str">
        <f>"2017 Q2"</f>
        <v>2017 Q2</v>
      </c>
      <c r="AJ57" t="str">
        <f>"2017 Q1"</f>
        <v>2017 Q1</v>
      </c>
      <c r="AK57" t="str">
        <f>"2016 Q4"</f>
        <v>2016 Q4</v>
      </c>
      <c r="AL57" t="str">
        <f>"2016 Q3"</f>
        <v>2016 Q3</v>
      </c>
      <c r="AM57" t="str">
        <f>"2016 Q2"</f>
        <v>2016 Q2</v>
      </c>
      <c r="AN57" t="str">
        <f>"2016 Q1"</f>
        <v>2016 Q1</v>
      </c>
      <c r="AO57" t="str">
        <f>"2015 Q4"</f>
        <v>2015 Q4</v>
      </c>
      <c r="AP57" t="str">
        <f>"2015 Q3"</f>
        <v>2015 Q3</v>
      </c>
      <c r="AQ57" t="str">
        <f>"2015 Q2"</f>
        <v>2015 Q2</v>
      </c>
      <c r="AR57" t="str">
        <f>"2015 Q1"</f>
        <v>2015 Q1</v>
      </c>
      <c r="AS57" t="str">
        <f>"2014 Q4"</f>
        <v>2014 Q4</v>
      </c>
      <c r="AT57" t="str">
        <f>"2014 Q3"</f>
        <v>2014 Q3</v>
      </c>
      <c r="AU57" t="str">
        <f>"2014 Q2"</f>
        <v>2014 Q2</v>
      </c>
      <c r="AV57" t="str">
        <f>"2014 Q1"</f>
        <v>2014 Q1</v>
      </c>
      <c r="AW57" t="str">
        <f>"2013 Q4"</f>
        <v>2013 Q4</v>
      </c>
      <c r="AX57" t="str">
        <f>"2013 Q3"</f>
        <v>2013 Q3</v>
      </c>
      <c r="AY57" t="str">
        <f>"2013 Q2"</f>
        <v>2013 Q2</v>
      </c>
      <c r="AZ57" t="str">
        <f>"2013 Q1"</f>
        <v>2013 Q1</v>
      </c>
      <c r="BA57" t="str">
        <f>"2012 Q4"</f>
        <v>2012 Q4</v>
      </c>
      <c r="BB57" t="str">
        <f>"2012 Q3"</f>
        <v>2012 Q3</v>
      </c>
      <c r="BC57" t="str">
        <f>"2012 Q2"</f>
        <v>2012 Q2</v>
      </c>
      <c r="BD57" t="str">
        <f>"2012 Q1"</f>
        <v>2012 Q1</v>
      </c>
      <c r="BE57" t="str">
        <f>"2011 Q4"</f>
        <v>2011 Q4</v>
      </c>
      <c r="BF57" t="str">
        <f>"2011 Q3"</f>
        <v>2011 Q3</v>
      </c>
      <c r="BG57" t="str">
        <f>"2011 Q2"</f>
        <v>2011 Q2</v>
      </c>
      <c r="BH57" t="str">
        <f>"2011 Q1"</f>
        <v>2011 Q1</v>
      </c>
      <c r="BI57" t="str">
        <f>"2010 Q4"</f>
        <v>2010 Q4</v>
      </c>
      <c r="BJ57" t="str">
        <f>"2010 Q3"</f>
        <v>2010 Q3</v>
      </c>
      <c r="BN57" t="str">
        <f>""</f>
        <v/>
      </c>
      <c r="BO57" t="str">
        <f>""</f>
        <v/>
      </c>
      <c r="BP57" t="str">
        <f>""</f>
        <v/>
      </c>
      <c r="BQ57" t="str">
        <f>""</f>
        <v/>
      </c>
      <c r="BR57" t="str">
        <f>""</f>
        <v/>
      </c>
      <c r="BS57" t="str">
        <f>""</f>
        <v/>
      </c>
      <c r="BT57" t="str">
        <f>""</f>
        <v/>
      </c>
      <c r="BU57" t="str">
        <f>""</f>
        <v/>
      </c>
      <c r="BV57" t="str">
        <f>""</f>
        <v/>
      </c>
      <c r="BW57" t="str">
        <f>""</f>
        <v/>
      </c>
      <c r="BX57" t="str">
        <f>""</f>
        <v/>
      </c>
      <c r="BY57" t="str">
        <f>""</f>
        <v/>
      </c>
      <c r="BZ57" t="str">
        <f>""</f>
        <v/>
      </c>
      <c r="CA57" t="str">
        <f>""</f>
        <v/>
      </c>
      <c r="CB57" t="str">
        <f>""</f>
        <v/>
      </c>
      <c r="CC57" t="str">
        <f>""</f>
        <v/>
      </c>
      <c r="CD57" t="str">
        <f>""</f>
        <v/>
      </c>
      <c r="CE57" t="str">
        <f>""</f>
        <v/>
      </c>
      <c r="CF57" t="str">
        <f>""</f>
        <v/>
      </c>
      <c r="CG57" t="str">
        <f>""</f>
        <v/>
      </c>
      <c r="CH57" t="str">
        <f>""</f>
        <v/>
      </c>
      <c r="CI57" t="str">
        <f>""</f>
        <v/>
      </c>
      <c r="CJ57" t="str">
        <f>""</f>
        <v/>
      </c>
      <c r="CK57" t="str">
        <f>""</f>
        <v/>
      </c>
      <c r="CL57" t="str">
        <f>""</f>
        <v/>
      </c>
      <c r="CM57" t="str">
        <f>""</f>
        <v/>
      </c>
      <c r="CN57" t="str">
        <f>""</f>
        <v/>
      </c>
      <c r="CO57" t="str">
        <f>""</f>
        <v/>
      </c>
      <c r="CP57" t="str">
        <f>""</f>
        <v/>
      </c>
      <c r="CQ57" t="str">
        <f>""</f>
        <v/>
      </c>
      <c r="CR57" t="str">
        <f>""</f>
        <v/>
      </c>
      <c r="CS57" t="str">
        <f>""</f>
        <v/>
      </c>
      <c r="CT57" t="str">
        <f>""</f>
        <v/>
      </c>
      <c r="CU57" t="str">
        <f>""</f>
        <v/>
      </c>
      <c r="CV57" t="str">
        <f>""</f>
        <v/>
      </c>
      <c r="CW57" t="str">
        <f>""</f>
        <v/>
      </c>
      <c r="CX57" t="str">
        <f>""</f>
        <v/>
      </c>
      <c r="CY57" t="str">
        <f>""</f>
        <v/>
      </c>
      <c r="CZ57" t="str">
        <f>""</f>
        <v/>
      </c>
      <c r="DA57" t="str">
        <f>""</f>
        <v/>
      </c>
      <c r="DB57" t="str">
        <f>""</f>
        <v/>
      </c>
      <c r="DC57" t="str">
        <f>""</f>
        <v/>
      </c>
      <c r="DD57" t="str">
        <f>""</f>
        <v/>
      </c>
      <c r="DE57" t="str">
        <f>""</f>
        <v/>
      </c>
      <c r="DF57" t="str">
        <f>""</f>
        <v/>
      </c>
      <c r="DG57" t="str">
        <f>""</f>
        <v/>
      </c>
      <c r="DH57" t="str">
        <f>""</f>
        <v/>
      </c>
      <c r="DI57" t="str">
        <f>""</f>
        <v/>
      </c>
      <c r="DJ57" t="str">
        <f>""</f>
        <v/>
      </c>
      <c r="DK57" t="str">
        <f>""</f>
        <v/>
      </c>
      <c r="DL57" t="str">
        <f>""</f>
        <v/>
      </c>
      <c r="DM57" t="str">
        <f>""</f>
        <v/>
      </c>
      <c r="DN57" t="str">
        <f>""</f>
        <v/>
      </c>
      <c r="DO57" t="str">
        <f>""</f>
        <v/>
      </c>
      <c r="DP57" t="str">
        <f>""</f>
        <v/>
      </c>
      <c r="DQ57" t="str">
        <f>""</f>
        <v/>
      </c>
      <c r="DR57" t="str">
        <f>""</f>
        <v/>
      </c>
      <c r="DS57" t="str">
        <f>""</f>
        <v/>
      </c>
      <c r="DT57" t="str">
        <f>""</f>
        <v/>
      </c>
      <c r="DU57" t="str">
        <f>""</f>
        <v/>
      </c>
    </row>
    <row r="58" spans="1:125" x14ac:dyDescent="0.25">
      <c r="A58" t="str">
        <f>"BDH snapshot header0"</f>
        <v>BDH snapshot header0</v>
      </c>
      <c r="B58">
        <f>IF(OR(ISERROR($C$58),ISBLANK($C$58),ISNUMBER(SEARCH("N/A",$C$58) ),ISERROR($C$59),ISBLANK($C$59)),0,1)</f>
        <v>0</v>
      </c>
      <c r="C58" t="str">
        <f>_xll.BDH($B$33,$C$33,$B$29,$B$56,"PER=CQ","Dts=S","DtFmt=FI", "rows=2","Dir=H","Points=60","Sort=R","Days=A","Fill=B", )</f>
        <v>#N/A Invalid Parameter: Invalid override field id specified</v>
      </c>
      <c r="BN58" t="str">
        <f>""</f>
        <v/>
      </c>
      <c r="BO58" t="str">
        <f>""</f>
        <v/>
      </c>
      <c r="BP58" t="str">
        <f>""</f>
        <v/>
      </c>
      <c r="BQ58" t="str">
        <f>""</f>
        <v/>
      </c>
      <c r="BR58" t="str">
        <f>""</f>
        <v/>
      </c>
      <c r="BS58" t="str">
        <f>""</f>
        <v/>
      </c>
      <c r="BT58" t="str">
        <f>""</f>
        <v/>
      </c>
      <c r="BU58" t="str">
        <f>""</f>
        <v/>
      </c>
      <c r="BV58" t="str">
        <f>""</f>
        <v/>
      </c>
      <c r="BW58" t="str">
        <f>""</f>
        <v/>
      </c>
      <c r="BX58" t="str">
        <f>""</f>
        <v/>
      </c>
      <c r="BY58" t="str">
        <f>""</f>
        <v/>
      </c>
      <c r="BZ58" t="str">
        <f>""</f>
        <v/>
      </c>
      <c r="CA58" t="str">
        <f>""</f>
        <v/>
      </c>
      <c r="CB58" t="str">
        <f>""</f>
        <v/>
      </c>
      <c r="CC58" t="str">
        <f>""</f>
        <v/>
      </c>
      <c r="CD58" t="str">
        <f>""</f>
        <v/>
      </c>
      <c r="CE58" t="str">
        <f>""</f>
        <v/>
      </c>
      <c r="CF58" t="str">
        <f>""</f>
        <v/>
      </c>
      <c r="CG58" t="str">
        <f>""</f>
        <v/>
      </c>
      <c r="CH58" t="str">
        <f>""</f>
        <v/>
      </c>
      <c r="CI58" t="str">
        <f>""</f>
        <v/>
      </c>
      <c r="CJ58" t="str">
        <f>""</f>
        <v/>
      </c>
      <c r="CK58" t="str">
        <f>""</f>
        <v/>
      </c>
      <c r="CL58" t="str">
        <f>""</f>
        <v/>
      </c>
      <c r="CM58" t="str">
        <f>""</f>
        <v/>
      </c>
      <c r="CN58" t="str">
        <f>""</f>
        <v/>
      </c>
      <c r="CO58" t="str">
        <f>""</f>
        <v/>
      </c>
      <c r="CP58" t="str">
        <f>""</f>
        <v/>
      </c>
      <c r="CQ58" t="str">
        <f>""</f>
        <v/>
      </c>
      <c r="CR58" t="str">
        <f>""</f>
        <v/>
      </c>
      <c r="CS58" t="str">
        <f>""</f>
        <v/>
      </c>
      <c r="CT58" t="str">
        <f>""</f>
        <v/>
      </c>
      <c r="CU58" t="str">
        <f>""</f>
        <v/>
      </c>
      <c r="CV58" t="str">
        <f>""</f>
        <v/>
      </c>
      <c r="CW58" t="str">
        <f>""</f>
        <v/>
      </c>
      <c r="CX58" t="str">
        <f>""</f>
        <v/>
      </c>
      <c r="CY58" t="str">
        <f>""</f>
        <v/>
      </c>
      <c r="CZ58" t="str">
        <f>""</f>
        <v/>
      </c>
      <c r="DA58" t="str">
        <f>""</f>
        <v/>
      </c>
      <c r="DB58" t="str">
        <f>""</f>
        <v/>
      </c>
      <c r="DC58" t="str">
        <f>""</f>
        <v/>
      </c>
      <c r="DD58" t="str">
        <f>""</f>
        <v/>
      </c>
      <c r="DE58" t="str">
        <f>""</f>
        <v/>
      </c>
      <c r="DF58" t="str">
        <f>""</f>
        <v/>
      </c>
      <c r="DG58" t="str">
        <f>""</f>
        <v/>
      </c>
      <c r="DH58" t="str">
        <f>""</f>
        <v/>
      </c>
      <c r="DI58" t="str">
        <f>""</f>
        <v/>
      </c>
      <c r="DJ58" t="str">
        <f>""</f>
        <v/>
      </c>
      <c r="DK58" t="str">
        <f>""</f>
        <v/>
      </c>
      <c r="DL58" t="str">
        <f>""</f>
        <v/>
      </c>
      <c r="DM58" t="str">
        <f>""</f>
        <v/>
      </c>
      <c r="DN58" t="str">
        <f>""</f>
        <v/>
      </c>
      <c r="DO58" t="str">
        <f>""</f>
        <v/>
      </c>
      <c r="DP58" t="str">
        <f>""</f>
        <v/>
      </c>
      <c r="DQ58" t="str">
        <f>""</f>
        <v/>
      </c>
      <c r="DR58" t="str">
        <f>""</f>
        <v/>
      </c>
      <c r="DS58" t="str">
        <f>""</f>
        <v/>
      </c>
      <c r="DT58" t="str">
        <f>""</f>
        <v/>
      </c>
      <c r="DU58" t="str">
        <f>""</f>
        <v/>
      </c>
    </row>
    <row r="59" spans="1:125" x14ac:dyDescent="0.25">
      <c r="A59" t="str">
        <f>"BDH snapshot result0"</f>
        <v>BDH snapshot result0</v>
      </c>
      <c r="BN59" t="str">
        <f>""</f>
        <v/>
      </c>
      <c r="BO59" t="str">
        <f>""</f>
        <v/>
      </c>
      <c r="BP59" t="str">
        <f>""</f>
        <v/>
      </c>
      <c r="BQ59" t="str">
        <f>""</f>
        <v/>
      </c>
      <c r="BR59" t="str">
        <f>""</f>
        <v/>
      </c>
      <c r="BS59" t="str">
        <f>""</f>
        <v/>
      </c>
      <c r="BT59" t="str">
        <f>""</f>
        <v/>
      </c>
      <c r="BU59" t="str">
        <f>""</f>
        <v/>
      </c>
      <c r="BV59" t="str">
        <f>""</f>
        <v/>
      </c>
      <c r="BW59" t="str">
        <f>""</f>
        <v/>
      </c>
      <c r="BX59" t="str">
        <f>""</f>
        <v/>
      </c>
      <c r="BY59" t="str">
        <f>""</f>
        <v/>
      </c>
      <c r="BZ59" t="str">
        <f>""</f>
        <v/>
      </c>
      <c r="CA59" t="str">
        <f>""</f>
        <v/>
      </c>
      <c r="CB59" t="str">
        <f>""</f>
        <v/>
      </c>
      <c r="CC59" t="str">
        <f>""</f>
        <v/>
      </c>
      <c r="CD59" t="str">
        <f>""</f>
        <v/>
      </c>
      <c r="CE59" t="str">
        <f>""</f>
        <v/>
      </c>
      <c r="CF59" t="str">
        <f>""</f>
        <v/>
      </c>
      <c r="CG59" t="str">
        <f>""</f>
        <v/>
      </c>
      <c r="CH59" t="str">
        <f>""</f>
        <v/>
      </c>
      <c r="CI59" t="str">
        <f>""</f>
        <v/>
      </c>
      <c r="CJ59" t="str">
        <f>""</f>
        <v/>
      </c>
      <c r="CK59" t="str">
        <f>""</f>
        <v/>
      </c>
      <c r="CL59" t="str">
        <f>""</f>
        <v/>
      </c>
      <c r="CM59" t="str">
        <f>""</f>
        <v/>
      </c>
      <c r="CN59" t="str">
        <f>""</f>
        <v/>
      </c>
      <c r="CO59" t="str">
        <f>""</f>
        <v/>
      </c>
      <c r="CP59" t="str">
        <f>""</f>
        <v/>
      </c>
      <c r="CQ59" t="str">
        <f>""</f>
        <v/>
      </c>
      <c r="CR59" t="str">
        <f>""</f>
        <v/>
      </c>
      <c r="CS59" t="str">
        <f>""</f>
        <v/>
      </c>
      <c r="CT59" t="str">
        <f>""</f>
        <v/>
      </c>
      <c r="CU59" t="str">
        <f>""</f>
        <v/>
      </c>
      <c r="CV59" t="str">
        <f>""</f>
        <v/>
      </c>
      <c r="CW59" t="str">
        <f>""</f>
        <v/>
      </c>
      <c r="CX59" t="str">
        <f>""</f>
        <v/>
      </c>
      <c r="CY59" t="str">
        <f>""</f>
        <v/>
      </c>
      <c r="CZ59" t="str">
        <f>""</f>
        <v/>
      </c>
      <c r="DA59" t="str">
        <f>""</f>
        <v/>
      </c>
      <c r="DB59" t="str">
        <f>""</f>
        <v/>
      </c>
      <c r="DC59" t="str">
        <f>""</f>
        <v/>
      </c>
      <c r="DD59" t="str">
        <f>""</f>
        <v/>
      </c>
      <c r="DE59" t="str">
        <f>""</f>
        <v/>
      </c>
      <c r="DF59" t="str">
        <f>""</f>
        <v/>
      </c>
      <c r="DG59" t="str">
        <f>""</f>
        <v/>
      </c>
      <c r="DH59" t="str">
        <f>""</f>
        <v/>
      </c>
      <c r="DI59" t="str">
        <f>""</f>
        <v/>
      </c>
      <c r="DJ59" t="str">
        <f>""</f>
        <v/>
      </c>
      <c r="DK59" t="str">
        <f>""</f>
        <v/>
      </c>
      <c r="DL59" t="str">
        <f>""</f>
        <v/>
      </c>
      <c r="DM59" t="str">
        <f>""</f>
        <v/>
      </c>
      <c r="DN59" t="str">
        <f>""</f>
        <v/>
      </c>
      <c r="DO59" t="str">
        <f>""</f>
        <v/>
      </c>
      <c r="DP59" t="str">
        <f>""</f>
        <v/>
      </c>
      <c r="DQ59" t="str">
        <f>""</f>
        <v/>
      </c>
      <c r="DR59" t="str">
        <f>""</f>
        <v/>
      </c>
      <c r="DS59" t="str">
        <f>""</f>
        <v/>
      </c>
      <c r="DT59" t="str">
        <f>""</f>
        <v/>
      </c>
      <c r="DU59" t="str">
        <f>""</f>
        <v/>
      </c>
    </row>
    <row r="60" spans="1:125" x14ac:dyDescent="0.25">
      <c r="A60" t="str">
        <f>"BDH snapshot header1"</f>
        <v>BDH snapshot header1</v>
      </c>
      <c r="B60">
        <f>IF(OR(ISERROR($C$60),ISBLANK($C$60),ISNUMBER(SEARCH("N/A",$C$60) ),ISERROR($C$61),ISBLANK($C$61)),0,1)</f>
        <v>0</v>
      </c>
      <c r="C60" t="str">
        <f>_xll.BDH($B$34,$C$34,$B$29,$B$56,"PER=CQ","Dts=S","DtFmt=FI", "rows=2","Dir=H","Points=60","Sort=R","Days=A","Fill=B", )</f>
        <v>#N/A Invalid Parameter: Invalid override field id specified</v>
      </c>
      <c r="BN60" t="str">
        <f>""</f>
        <v/>
      </c>
      <c r="BO60" t="str">
        <f>""</f>
        <v/>
      </c>
      <c r="BP60" t="str">
        <f>""</f>
        <v/>
      </c>
      <c r="BQ60" t="str">
        <f>""</f>
        <v/>
      </c>
      <c r="BR60" t="str">
        <f>""</f>
        <v/>
      </c>
      <c r="BS60" t="str">
        <f>""</f>
        <v/>
      </c>
      <c r="BT60" t="str">
        <f>""</f>
        <v/>
      </c>
      <c r="BU60" t="str">
        <f>""</f>
        <v/>
      </c>
      <c r="BV60" t="str">
        <f>""</f>
        <v/>
      </c>
      <c r="BW60" t="str">
        <f>""</f>
        <v/>
      </c>
      <c r="BX60" t="str">
        <f>""</f>
        <v/>
      </c>
      <c r="BY60" t="str">
        <f>""</f>
        <v/>
      </c>
      <c r="BZ60" t="str">
        <f>""</f>
        <v/>
      </c>
      <c r="CA60" t="str">
        <f>""</f>
        <v/>
      </c>
      <c r="CB60" t="str">
        <f>""</f>
        <v/>
      </c>
      <c r="CC60" t="str">
        <f>""</f>
        <v/>
      </c>
      <c r="CD60" t="str">
        <f>""</f>
        <v/>
      </c>
      <c r="CE60" t="str">
        <f>""</f>
        <v/>
      </c>
      <c r="CF60" t="str">
        <f>""</f>
        <v/>
      </c>
      <c r="CG60" t="str">
        <f>""</f>
        <v/>
      </c>
      <c r="CH60" t="str">
        <f>""</f>
        <v/>
      </c>
      <c r="CI60" t="str">
        <f>""</f>
        <v/>
      </c>
      <c r="CJ60" t="str">
        <f>""</f>
        <v/>
      </c>
      <c r="CK60" t="str">
        <f>""</f>
        <v/>
      </c>
      <c r="CL60" t="str">
        <f>""</f>
        <v/>
      </c>
      <c r="CM60" t="str">
        <f>""</f>
        <v/>
      </c>
      <c r="CN60" t="str">
        <f>""</f>
        <v/>
      </c>
      <c r="CO60" t="str">
        <f>""</f>
        <v/>
      </c>
      <c r="CP60" t="str">
        <f>""</f>
        <v/>
      </c>
      <c r="CQ60" t="str">
        <f>""</f>
        <v/>
      </c>
      <c r="CR60" t="str">
        <f>""</f>
        <v/>
      </c>
      <c r="CS60" t="str">
        <f>""</f>
        <v/>
      </c>
      <c r="CT60" t="str">
        <f>""</f>
        <v/>
      </c>
      <c r="CU60" t="str">
        <f>""</f>
        <v/>
      </c>
      <c r="CV60" t="str">
        <f>""</f>
        <v/>
      </c>
      <c r="CW60" t="str">
        <f>""</f>
        <v/>
      </c>
      <c r="CX60" t="str">
        <f>""</f>
        <v/>
      </c>
      <c r="CY60" t="str">
        <f>""</f>
        <v/>
      </c>
      <c r="CZ60" t="str">
        <f>""</f>
        <v/>
      </c>
      <c r="DA60" t="str">
        <f>""</f>
        <v/>
      </c>
      <c r="DB60" t="str">
        <f>""</f>
        <v/>
      </c>
      <c r="DC60" t="str">
        <f>""</f>
        <v/>
      </c>
      <c r="DD60" t="str">
        <f>""</f>
        <v/>
      </c>
      <c r="DE60" t="str">
        <f>""</f>
        <v/>
      </c>
      <c r="DF60" t="str">
        <f>""</f>
        <v/>
      </c>
      <c r="DG60" t="str">
        <f>""</f>
        <v/>
      </c>
      <c r="DH60" t="str">
        <f>""</f>
        <v/>
      </c>
      <c r="DI60" t="str">
        <f>""</f>
        <v/>
      </c>
      <c r="DJ60" t="str">
        <f>""</f>
        <v/>
      </c>
      <c r="DK60" t="str">
        <f>""</f>
        <v/>
      </c>
      <c r="DL60" t="str">
        <f>""</f>
        <v/>
      </c>
      <c r="DM60" t="str">
        <f>""</f>
        <v/>
      </c>
      <c r="DN60" t="str">
        <f>""</f>
        <v/>
      </c>
      <c r="DO60" t="str">
        <f>""</f>
        <v/>
      </c>
      <c r="DP60" t="str">
        <f>""</f>
        <v/>
      </c>
      <c r="DQ60" t="str">
        <f>""</f>
        <v/>
      </c>
      <c r="DR60" t="str">
        <f>""</f>
        <v/>
      </c>
      <c r="DS60" t="str">
        <f>""</f>
        <v/>
      </c>
      <c r="DT60" t="str">
        <f>""</f>
        <v/>
      </c>
      <c r="DU60" t="str">
        <f>""</f>
        <v/>
      </c>
    </row>
    <row r="61" spans="1:125" x14ac:dyDescent="0.25">
      <c r="A61" t="str">
        <f>"BDH snapshot result1"</f>
        <v>BDH snapshot result1</v>
      </c>
      <c r="BN61" t="str">
        <f>""</f>
        <v/>
      </c>
      <c r="BO61" t="str">
        <f>""</f>
        <v/>
      </c>
      <c r="BP61" t="str">
        <f>""</f>
        <v/>
      </c>
      <c r="BQ61" t="str">
        <f>""</f>
        <v/>
      </c>
      <c r="BR61" t="str">
        <f>""</f>
        <v/>
      </c>
      <c r="BS61" t="str">
        <f>""</f>
        <v/>
      </c>
      <c r="BT61" t="str">
        <f>""</f>
        <v/>
      </c>
      <c r="BU61" t="str">
        <f>""</f>
        <v/>
      </c>
      <c r="BV61" t="str">
        <f>""</f>
        <v/>
      </c>
      <c r="BW61" t="str">
        <f>""</f>
        <v/>
      </c>
      <c r="BX61" t="str">
        <f>""</f>
        <v/>
      </c>
      <c r="BY61" t="str">
        <f>""</f>
        <v/>
      </c>
      <c r="BZ61" t="str">
        <f>""</f>
        <v/>
      </c>
      <c r="CA61" t="str">
        <f>""</f>
        <v/>
      </c>
      <c r="CB61" t="str">
        <f>""</f>
        <v/>
      </c>
      <c r="CC61" t="str">
        <f>""</f>
        <v/>
      </c>
      <c r="CD61" t="str">
        <f>""</f>
        <v/>
      </c>
      <c r="CE61" t="str">
        <f>""</f>
        <v/>
      </c>
      <c r="CF61" t="str">
        <f>""</f>
        <v/>
      </c>
      <c r="CG61" t="str">
        <f>""</f>
        <v/>
      </c>
      <c r="CH61" t="str">
        <f>""</f>
        <v/>
      </c>
      <c r="CI61" t="str">
        <f>""</f>
        <v/>
      </c>
      <c r="CJ61" t="str">
        <f>""</f>
        <v/>
      </c>
      <c r="CK61" t="str">
        <f>""</f>
        <v/>
      </c>
      <c r="CL61" t="str">
        <f>""</f>
        <v/>
      </c>
      <c r="CM61" t="str">
        <f>""</f>
        <v/>
      </c>
      <c r="CN61" t="str">
        <f>""</f>
        <v/>
      </c>
      <c r="CO61" t="str">
        <f>""</f>
        <v/>
      </c>
      <c r="CP61" t="str">
        <f>""</f>
        <v/>
      </c>
      <c r="CQ61" t="str">
        <f>""</f>
        <v/>
      </c>
      <c r="CR61" t="str">
        <f>""</f>
        <v/>
      </c>
      <c r="CS61" t="str">
        <f>""</f>
        <v/>
      </c>
      <c r="CT61" t="str">
        <f>""</f>
        <v/>
      </c>
      <c r="CU61" t="str">
        <f>""</f>
        <v/>
      </c>
      <c r="CV61" t="str">
        <f>""</f>
        <v/>
      </c>
      <c r="CW61" t="str">
        <f>""</f>
        <v/>
      </c>
      <c r="CX61" t="str">
        <f>""</f>
        <v/>
      </c>
      <c r="CY61" t="str">
        <f>""</f>
        <v/>
      </c>
      <c r="CZ61" t="str">
        <f>""</f>
        <v/>
      </c>
      <c r="DA61" t="str">
        <f>""</f>
        <v/>
      </c>
      <c r="DB61" t="str">
        <f>""</f>
        <v/>
      </c>
      <c r="DC61" t="str">
        <f>""</f>
        <v/>
      </c>
      <c r="DD61" t="str">
        <f>""</f>
        <v/>
      </c>
      <c r="DE61" t="str">
        <f>""</f>
        <v/>
      </c>
      <c r="DF61" t="str">
        <f>""</f>
        <v/>
      </c>
      <c r="DG61" t="str">
        <f>""</f>
        <v/>
      </c>
      <c r="DH61" t="str">
        <f>""</f>
        <v/>
      </c>
      <c r="DI61" t="str">
        <f>""</f>
        <v/>
      </c>
      <c r="DJ61" t="str">
        <f>""</f>
        <v/>
      </c>
      <c r="DK61" t="str">
        <f>""</f>
        <v/>
      </c>
      <c r="DL61" t="str">
        <f>""</f>
        <v/>
      </c>
      <c r="DM61" t="str">
        <f>""</f>
        <v/>
      </c>
      <c r="DN61" t="str">
        <f>""</f>
        <v/>
      </c>
      <c r="DO61" t="str">
        <f>""</f>
        <v/>
      </c>
      <c r="DP61" t="str">
        <f>""</f>
        <v/>
      </c>
      <c r="DQ61" t="str">
        <f>""</f>
        <v/>
      </c>
      <c r="DR61" t="str">
        <f>""</f>
        <v/>
      </c>
      <c r="DS61" t="str">
        <f>""</f>
        <v/>
      </c>
      <c r="DT61" t="str">
        <f>""</f>
        <v/>
      </c>
      <c r="DU61" t="str">
        <f>""</f>
        <v/>
      </c>
    </row>
    <row r="62" spans="1:125" x14ac:dyDescent="0.25">
      <c r="A62" t="str">
        <f>"BDH snapshot header2"</f>
        <v>BDH snapshot header2</v>
      </c>
      <c r="B62">
        <f>IF(OR(ISERROR($C$62),ISBLANK($C$62),ISNUMBER(SEARCH("N/A",$C$62) ),ISERROR($C$63),ISBLANK($C$63)),0,1)</f>
        <v>0</v>
      </c>
      <c r="C62" t="str">
        <f>_xll.BDH($B$35,$C$35,$B$29,$B$56,"PER=CQ","Dts=S","DtFmt=FI", "rows=2","Dir=H","Points=60","Sort=R","Days=A","Fill=B", )</f>
        <v>#N/A Invalid Parameter: Invalid override field id specified</v>
      </c>
      <c r="BN62" t="str">
        <f>""</f>
        <v/>
      </c>
      <c r="BO62" t="str">
        <f>""</f>
        <v/>
      </c>
      <c r="BP62" t="str">
        <f>""</f>
        <v/>
      </c>
      <c r="BQ62" t="str">
        <f>""</f>
        <v/>
      </c>
      <c r="BR62" t="str">
        <f>""</f>
        <v/>
      </c>
      <c r="BS62" t="str">
        <f>""</f>
        <v/>
      </c>
      <c r="BT62" t="str">
        <f>""</f>
        <v/>
      </c>
      <c r="BU62" t="str">
        <f>""</f>
        <v/>
      </c>
      <c r="BV62" t="str">
        <f>""</f>
        <v/>
      </c>
      <c r="BW62" t="str">
        <f>""</f>
        <v/>
      </c>
      <c r="BX62" t="str">
        <f>""</f>
        <v/>
      </c>
      <c r="BY62" t="str">
        <f>""</f>
        <v/>
      </c>
      <c r="BZ62" t="str">
        <f>""</f>
        <v/>
      </c>
      <c r="CA62" t="str">
        <f>""</f>
        <v/>
      </c>
      <c r="CB62" t="str">
        <f>""</f>
        <v/>
      </c>
      <c r="CC62" t="str">
        <f>""</f>
        <v/>
      </c>
      <c r="CD62" t="str">
        <f>""</f>
        <v/>
      </c>
      <c r="CE62" t="str">
        <f>""</f>
        <v/>
      </c>
      <c r="CF62" t="str">
        <f>""</f>
        <v/>
      </c>
      <c r="CG62" t="str">
        <f>""</f>
        <v/>
      </c>
      <c r="CH62" t="str">
        <f>""</f>
        <v/>
      </c>
      <c r="CI62" t="str">
        <f>""</f>
        <v/>
      </c>
      <c r="CJ62" t="str">
        <f>""</f>
        <v/>
      </c>
      <c r="CK62" t="str">
        <f>""</f>
        <v/>
      </c>
      <c r="CL62" t="str">
        <f>""</f>
        <v/>
      </c>
      <c r="CM62" t="str">
        <f>""</f>
        <v/>
      </c>
      <c r="CN62" t="str">
        <f>""</f>
        <v/>
      </c>
      <c r="CO62" t="str">
        <f>""</f>
        <v/>
      </c>
      <c r="CP62" t="str">
        <f>""</f>
        <v/>
      </c>
      <c r="CQ62" t="str">
        <f>""</f>
        <v/>
      </c>
      <c r="CR62" t="str">
        <f>""</f>
        <v/>
      </c>
      <c r="CS62" t="str">
        <f>""</f>
        <v/>
      </c>
      <c r="CT62" t="str">
        <f>""</f>
        <v/>
      </c>
      <c r="CU62" t="str">
        <f>""</f>
        <v/>
      </c>
      <c r="CV62" t="str">
        <f>""</f>
        <v/>
      </c>
      <c r="CW62" t="str">
        <f>""</f>
        <v/>
      </c>
      <c r="CX62" t="str">
        <f>""</f>
        <v/>
      </c>
      <c r="CY62" t="str">
        <f>""</f>
        <v/>
      </c>
      <c r="CZ62" t="str">
        <f>""</f>
        <v/>
      </c>
      <c r="DA62" t="str">
        <f>""</f>
        <v/>
      </c>
      <c r="DB62" t="str">
        <f>""</f>
        <v/>
      </c>
      <c r="DC62" t="str">
        <f>""</f>
        <v/>
      </c>
      <c r="DD62" t="str">
        <f>""</f>
        <v/>
      </c>
      <c r="DE62" t="str">
        <f>""</f>
        <v/>
      </c>
      <c r="DF62" t="str">
        <f>""</f>
        <v/>
      </c>
      <c r="DG62" t="str">
        <f>""</f>
        <v/>
      </c>
      <c r="DH62" t="str">
        <f>""</f>
        <v/>
      </c>
      <c r="DI62" t="str">
        <f>""</f>
        <v/>
      </c>
      <c r="DJ62" t="str">
        <f>""</f>
        <v/>
      </c>
      <c r="DK62" t="str">
        <f>""</f>
        <v/>
      </c>
      <c r="DL62" t="str">
        <f>""</f>
        <v/>
      </c>
      <c r="DM62" t="str">
        <f>""</f>
        <v/>
      </c>
      <c r="DN62" t="str">
        <f>""</f>
        <v/>
      </c>
      <c r="DO62" t="str">
        <f>""</f>
        <v/>
      </c>
      <c r="DP62" t="str">
        <f>""</f>
        <v/>
      </c>
      <c r="DQ62" t="str">
        <f>""</f>
        <v/>
      </c>
      <c r="DR62" t="str">
        <f>""</f>
        <v/>
      </c>
      <c r="DS62" t="str">
        <f>""</f>
        <v/>
      </c>
      <c r="DT62" t="str">
        <f>""</f>
        <v/>
      </c>
      <c r="DU62" t="str">
        <f>""</f>
        <v/>
      </c>
    </row>
    <row r="63" spans="1:125" x14ac:dyDescent="0.25">
      <c r="A63" t="str">
        <f>"BDH snapshot result2"</f>
        <v>BDH snapshot result2</v>
      </c>
      <c r="BN63" t="str">
        <f>""</f>
        <v/>
      </c>
      <c r="BO63" t="str">
        <f>""</f>
        <v/>
      </c>
      <c r="BP63" t="str">
        <f>""</f>
        <v/>
      </c>
      <c r="BQ63" t="str">
        <f>""</f>
        <v/>
      </c>
      <c r="BR63" t="str">
        <f>""</f>
        <v/>
      </c>
      <c r="BS63" t="str">
        <f>""</f>
        <v/>
      </c>
      <c r="BT63" t="str">
        <f>""</f>
        <v/>
      </c>
      <c r="BU63" t="str">
        <f>""</f>
        <v/>
      </c>
      <c r="BV63" t="str">
        <f>""</f>
        <v/>
      </c>
      <c r="BW63" t="str">
        <f>""</f>
        <v/>
      </c>
      <c r="BX63" t="str">
        <f>""</f>
        <v/>
      </c>
      <c r="BY63" t="str">
        <f>""</f>
        <v/>
      </c>
      <c r="BZ63" t="str">
        <f>""</f>
        <v/>
      </c>
      <c r="CA63" t="str">
        <f>""</f>
        <v/>
      </c>
      <c r="CB63" t="str">
        <f>""</f>
        <v/>
      </c>
      <c r="CC63" t="str">
        <f>""</f>
        <v/>
      </c>
      <c r="CD63" t="str">
        <f>""</f>
        <v/>
      </c>
      <c r="CE63" t="str">
        <f>""</f>
        <v/>
      </c>
      <c r="CF63" t="str">
        <f>""</f>
        <v/>
      </c>
      <c r="CG63" t="str">
        <f>""</f>
        <v/>
      </c>
      <c r="CH63" t="str">
        <f>""</f>
        <v/>
      </c>
      <c r="CI63" t="str">
        <f>""</f>
        <v/>
      </c>
      <c r="CJ63" t="str">
        <f>""</f>
        <v/>
      </c>
      <c r="CK63" t="str">
        <f>""</f>
        <v/>
      </c>
      <c r="CL63" t="str">
        <f>""</f>
        <v/>
      </c>
      <c r="CM63" t="str">
        <f>""</f>
        <v/>
      </c>
      <c r="CN63" t="str">
        <f>""</f>
        <v/>
      </c>
      <c r="CO63" t="str">
        <f>""</f>
        <v/>
      </c>
      <c r="CP63" t="str">
        <f>""</f>
        <v/>
      </c>
      <c r="CQ63" t="str">
        <f>""</f>
        <v/>
      </c>
      <c r="CR63" t="str">
        <f>""</f>
        <v/>
      </c>
      <c r="CS63" t="str">
        <f>""</f>
        <v/>
      </c>
      <c r="CT63" t="str">
        <f>""</f>
        <v/>
      </c>
      <c r="CU63" t="str">
        <f>""</f>
        <v/>
      </c>
      <c r="CV63" t="str">
        <f>""</f>
        <v/>
      </c>
      <c r="CW63" t="str">
        <f>""</f>
        <v/>
      </c>
      <c r="CX63" t="str">
        <f>""</f>
        <v/>
      </c>
      <c r="CY63" t="str">
        <f>""</f>
        <v/>
      </c>
      <c r="CZ63" t="str">
        <f>""</f>
        <v/>
      </c>
      <c r="DA63" t="str">
        <f>""</f>
        <v/>
      </c>
      <c r="DB63" t="str">
        <f>""</f>
        <v/>
      </c>
      <c r="DC63" t="str">
        <f>""</f>
        <v/>
      </c>
      <c r="DD63" t="str">
        <f>""</f>
        <v/>
      </c>
      <c r="DE63" t="str">
        <f>""</f>
        <v/>
      </c>
      <c r="DF63" t="str">
        <f>""</f>
        <v/>
      </c>
      <c r="DG63" t="str">
        <f>""</f>
        <v/>
      </c>
      <c r="DH63" t="str">
        <f>""</f>
        <v/>
      </c>
      <c r="DI63" t="str">
        <f>""</f>
        <v/>
      </c>
      <c r="DJ63" t="str">
        <f>""</f>
        <v/>
      </c>
      <c r="DK63" t="str">
        <f>""</f>
        <v/>
      </c>
      <c r="DL63" t="str">
        <f>""</f>
        <v/>
      </c>
      <c r="DM63" t="str">
        <f>""</f>
        <v/>
      </c>
      <c r="DN63" t="str">
        <f>""</f>
        <v/>
      </c>
      <c r="DO63" t="str">
        <f>""</f>
        <v/>
      </c>
      <c r="DP63" t="str">
        <f>""</f>
        <v/>
      </c>
      <c r="DQ63" t="str">
        <f>""</f>
        <v/>
      </c>
      <c r="DR63" t="str">
        <f>""</f>
        <v/>
      </c>
      <c r="DS63" t="str">
        <f>""</f>
        <v/>
      </c>
      <c r="DT63" t="str">
        <f>""</f>
        <v/>
      </c>
      <c r="DU63" t="str">
        <f>""</f>
        <v/>
      </c>
    </row>
    <row r="64" spans="1:125" x14ac:dyDescent="0.25">
      <c r="A64" t="str">
        <f>"BDH snapshot"</f>
        <v>BDH snapshot</v>
      </c>
      <c r="B64">
        <f>IF($B$58&gt;=1,$B$58,IF($B$60&gt;=1,$B$60,IF($B$62&gt;=1,$B$62,$B$57)))</f>
        <v>2</v>
      </c>
      <c r="C64" t="str">
        <f>IF($B$58&gt;=1,$C$58,IF($B$60&gt;=1,$C$60,IF($B$62&gt;=1,$C$62,$C$57)))</f>
        <v>2025 Q2</v>
      </c>
      <c r="D64" t="str">
        <f>IF($B$58&gt;=1,$D$58,IF($B$60&gt;=1,$D$60,IF($B$62&gt;=1,$D$62,$D$57)))</f>
        <v>2025 Q1</v>
      </c>
      <c r="E64" t="str">
        <f>IF($B$58&gt;=1,$E$58,IF($B$60&gt;=1,$E$60,IF($B$62&gt;=1,$E$62,$E$57)))</f>
        <v>2024 Q4</v>
      </c>
      <c r="F64" t="str">
        <f>IF($B$58&gt;=1,$F$58,IF($B$60&gt;=1,$F$60,IF($B$62&gt;=1,$F$62,$F$57)))</f>
        <v>2024 Q3</v>
      </c>
      <c r="G64" t="str">
        <f>IF($B$58&gt;=1,$G$58,IF($B$60&gt;=1,$G$60,IF($B$62&gt;=1,$G$62,$G$57)))</f>
        <v>2024 Q2</v>
      </c>
      <c r="H64" t="str">
        <f>IF($B$58&gt;=1,$H$58,IF($B$60&gt;=1,$H$60,IF($B$62&gt;=1,$H$62,$H$57)))</f>
        <v>2024 Q1</v>
      </c>
      <c r="I64" t="str">
        <f>IF($B$58&gt;=1,$I$58,IF($B$60&gt;=1,$I$60,IF($B$62&gt;=1,$I$62,$I$57)))</f>
        <v>2023 Q4</v>
      </c>
      <c r="J64" t="str">
        <f>IF($B$58&gt;=1,$J$58,IF($B$60&gt;=1,$J$60,IF($B$62&gt;=1,$J$62,$J$57)))</f>
        <v>2023 Q3</v>
      </c>
      <c r="K64" t="str">
        <f>IF($B$58&gt;=1,$K$58,IF($B$60&gt;=1,$K$60,IF($B$62&gt;=1,$K$62,$K$57)))</f>
        <v>2023 Q2</v>
      </c>
      <c r="L64" t="str">
        <f>IF($B$58&gt;=1,$L$58,IF($B$60&gt;=1,$L$60,IF($B$62&gt;=1,$L$62,$L$57)))</f>
        <v>2023 Q1</v>
      </c>
      <c r="M64" t="str">
        <f>IF($B$58&gt;=1,$M$58,IF($B$60&gt;=1,$M$60,IF($B$62&gt;=1,$M$62,$M$57)))</f>
        <v>2022 Q4</v>
      </c>
      <c r="N64" t="str">
        <f>IF($B$58&gt;=1,$N$58,IF($B$60&gt;=1,$N$60,IF($B$62&gt;=1,$N$62,$N$57)))</f>
        <v>2022 Q3</v>
      </c>
      <c r="O64" t="str">
        <f>IF($B$58&gt;=1,$O$58,IF($B$60&gt;=1,$O$60,IF($B$62&gt;=1,$O$62,$O$57)))</f>
        <v>2022 Q2</v>
      </c>
      <c r="P64" t="str">
        <f>IF($B$58&gt;=1,$P$58,IF($B$60&gt;=1,$P$60,IF($B$62&gt;=1,$P$62,$P$57)))</f>
        <v>2022 Q1</v>
      </c>
      <c r="Q64" t="str">
        <f>IF($B$58&gt;=1,$Q$58,IF($B$60&gt;=1,$Q$60,IF($B$62&gt;=1,$Q$62,$Q$57)))</f>
        <v>2021 Q4</v>
      </c>
      <c r="R64" t="str">
        <f>IF($B$58&gt;=1,$R$58,IF($B$60&gt;=1,$R$60,IF($B$62&gt;=1,$R$62,$R$57)))</f>
        <v>2021 Q3</v>
      </c>
      <c r="S64" t="str">
        <f>IF($B$58&gt;=1,$S$58,IF($B$60&gt;=1,$S$60,IF($B$62&gt;=1,$S$62,$S$57)))</f>
        <v>2021 Q2</v>
      </c>
      <c r="T64" t="str">
        <f>IF($B$58&gt;=1,$T$58,IF($B$60&gt;=1,$T$60,IF($B$62&gt;=1,$T$62,$T$57)))</f>
        <v>2021 Q1</v>
      </c>
      <c r="U64" t="str">
        <f>IF($B$58&gt;=1,$U$58,IF($B$60&gt;=1,$U$60,IF($B$62&gt;=1,$U$62,$U$57)))</f>
        <v>2020 Q4</v>
      </c>
      <c r="V64" t="str">
        <f>IF($B$58&gt;=1,$V$58,IF($B$60&gt;=1,$V$60,IF($B$62&gt;=1,$V$62,$V$57)))</f>
        <v>2020 Q3</v>
      </c>
      <c r="W64" t="str">
        <f>IF($B$58&gt;=1,$W$58,IF($B$60&gt;=1,$W$60,IF($B$62&gt;=1,$W$62,$W$57)))</f>
        <v>2020 Q2</v>
      </c>
      <c r="X64" t="str">
        <f>IF($B$58&gt;=1,$X$58,IF($B$60&gt;=1,$X$60,IF($B$62&gt;=1,$X$62,$X$57)))</f>
        <v>2020 Q1</v>
      </c>
      <c r="Y64" t="str">
        <f>IF($B$58&gt;=1,$Y$58,IF($B$60&gt;=1,$Y$60,IF($B$62&gt;=1,$Y$62,$Y$57)))</f>
        <v>2019 Q4</v>
      </c>
      <c r="Z64" t="str">
        <f>IF($B$58&gt;=1,$Z$58,IF($B$60&gt;=1,$Z$60,IF($B$62&gt;=1,$Z$62,$Z$57)))</f>
        <v>2019 Q3</v>
      </c>
      <c r="AA64" t="str">
        <f>IF($B$58&gt;=1,$AA$58,IF($B$60&gt;=1,$AA$60,IF($B$62&gt;=1,$AA$62,$AA$57)))</f>
        <v>2019 Q2</v>
      </c>
      <c r="AB64" t="str">
        <f>IF($B$58&gt;=1,$AB$58,IF($B$60&gt;=1,$AB$60,IF($B$62&gt;=1,$AB$62,$AB$57)))</f>
        <v>2019 Q1</v>
      </c>
      <c r="AC64" t="str">
        <f>IF($B$58&gt;=1,$AC$58,IF($B$60&gt;=1,$AC$60,IF($B$62&gt;=1,$AC$62,$AC$57)))</f>
        <v>2018 Q4</v>
      </c>
      <c r="AD64" t="str">
        <f>IF($B$58&gt;=1,$AD$58,IF($B$60&gt;=1,$AD$60,IF($B$62&gt;=1,$AD$62,$AD$57)))</f>
        <v>2018 Q3</v>
      </c>
      <c r="AE64" t="str">
        <f>IF($B$58&gt;=1,$AE$58,IF($B$60&gt;=1,$AE$60,IF($B$62&gt;=1,$AE$62,$AE$57)))</f>
        <v>2018 Q2</v>
      </c>
      <c r="AF64" t="str">
        <f>IF($B$58&gt;=1,$AF$58,IF($B$60&gt;=1,$AF$60,IF($B$62&gt;=1,$AF$62,$AF$57)))</f>
        <v>2018 Q1</v>
      </c>
      <c r="AG64" t="str">
        <f>IF($B$58&gt;=1,$AG$58,IF($B$60&gt;=1,$AG$60,IF($B$62&gt;=1,$AG$62,$AG$57)))</f>
        <v>2017 Q4</v>
      </c>
      <c r="AH64" t="str">
        <f>IF($B$58&gt;=1,$AH$58,IF($B$60&gt;=1,$AH$60,IF($B$62&gt;=1,$AH$62,$AH$57)))</f>
        <v>2017 Q3</v>
      </c>
      <c r="AI64" t="str">
        <f>IF($B$58&gt;=1,$AI$58,IF($B$60&gt;=1,$AI$60,IF($B$62&gt;=1,$AI$62,$AI$57)))</f>
        <v>2017 Q2</v>
      </c>
      <c r="AJ64" t="str">
        <f>IF($B$58&gt;=1,$AJ$58,IF($B$60&gt;=1,$AJ$60,IF($B$62&gt;=1,$AJ$62,$AJ$57)))</f>
        <v>2017 Q1</v>
      </c>
      <c r="AK64" t="str">
        <f>IF($B$58&gt;=1,$AK$58,IF($B$60&gt;=1,$AK$60,IF($B$62&gt;=1,$AK$62,$AK$57)))</f>
        <v>2016 Q4</v>
      </c>
      <c r="AL64" t="str">
        <f>IF($B$58&gt;=1,$AL$58,IF($B$60&gt;=1,$AL$60,IF($B$62&gt;=1,$AL$62,$AL$57)))</f>
        <v>2016 Q3</v>
      </c>
      <c r="AM64" t="str">
        <f>IF($B$58&gt;=1,$AM$58,IF($B$60&gt;=1,$AM$60,IF($B$62&gt;=1,$AM$62,$AM$57)))</f>
        <v>2016 Q2</v>
      </c>
      <c r="AN64" t="str">
        <f>IF($B$58&gt;=1,$AN$58,IF($B$60&gt;=1,$AN$60,IF($B$62&gt;=1,$AN$62,$AN$57)))</f>
        <v>2016 Q1</v>
      </c>
      <c r="AO64" t="str">
        <f>IF($B$58&gt;=1,$AO$58,IF($B$60&gt;=1,$AO$60,IF($B$62&gt;=1,$AO$62,$AO$57)))</f>
        <v>2015 Q4</v>
      </c>
      <c r="AP64" t="str">
        <f>IF($B$58&gt;=1,$AP$58,IF($B$60&gt;=1,$AP$60,IF($B$62&gt;=1,$AP$62,$AP$57)))</f>
        <v>2015 Q3</v>
      </c>
      <c r="AQ64" t="str">
        <f>IF($B$58&gt;=1,$AQ$58,IF($B$60&gt;=1,$AQ$60,IF($B$62&gt;=1,$AQ$62,$AQ$57)))</f>
        <v>2015 Q2</v>
      </c>
      <c r="AR64" t="str">
        <f>IF($B$58&gt;=1,$AR$58,IF($B$60&gt;=1,$AR$60,IF($B$62&gt;=1,$AR$62,$AR$57)))</f>
        <v>2015 Q1</v>
      </c>
      <c r="AS64" t="str">
        <f>IF($B$58&gt;=1,$AS$58,IF($B$60&gt;=1,$AS$60,IF($B$62&gt;=1,$AS$62,$AS$57)))</f>
        <v>2014 Q4</v>
      </c>
      <c r="AT64" t="str">
        <f>IF($B$58&gt;=1,$AT$58,IF($B$60&gt;=1,$AT$60,IF($B$62&gt;=1,$AT$62,$AT$57)))</f>
        <v>2014 Q3</v>
      </c>
      <c r="AU64" t="str">
        <f>IF($B$58&gt;=1,$AU$58,IF($B$60&gt;=1,$AU$60,IF($B$62&gt;=1,$AU$62,$AU$57)))</f>
        <v>2014 Q2</v>
      </c>
      <c r="AV64" t="str">
        <f>IF($B$58&gt;=1,$AV$58,IF($B$60&gt;=1,$AV$60,IF($B$62&gt;=1,$AV$62,$AV$57)))</f>
        <v>2014 Q1</v>
      </c>
      <c r="AW64" t="str">
        <f>IF($B$58&gt;=1,$AW$58,IF($B$60&gt;=1,$AW$60,IF($B$62&gt;=1,$AW$62,$AW$57)))</f>
        <v>2013 Q4</v>
      </c>
      <c r="AX64" t="str">
        <f>IF($B$58&gt;=1,$AX$58,IF($B$60&gt;=1,$AX$60,IF($B$62&gt;=1,$AX$62,$AX$57)))</f>
        <v>2013 Q3</v>
      </c>
      <c r="AY64" t="str">
        <f>IF($B$58&gt;=1,$AY$58,IF($B$60&gt;=1,$AY$60,IF($B$62&gt;=1,$AY$62,$AY$57)))</f>
        <v>2013 Q2</v>
      </c>
      <c r="AZ64" t="str">
        <f>IF($B$58&gt;=1,$AZ$58,IF($B$60&gt;=1,$AZ$60,IF($B$62&gt;=1,$AZ$62,$AZ$57)))</f>
        <v>2013 Q1</v>
      </c>
      <c r="BA64" t="str">
        <f>IF($B$58&gt;=1,$BA$58,IF($B$60&gt;=1,$BA$60,IF($B$62&gt;=1,$BA$62,$BA$57)))</f>
        <v>2012 Q4</v>
      </c>
      <c r="BB64" t="str">
        <f>IF($B$58&gt;=1,$BB$58,IF($B$60&gt;=1,$BB$60,IF($B$62&gt;=1,$BB$62,$BB$57)))</f>
        <v>2012 Q3</v>
      </c>
      <c r="BC64" t="str">
        <f>IF($B$58&gt;=1,$BC$58,IF($B$60&gt;=1,$BC$60,IF($B$62&gt;=1,$BC$62,$BC$57)))</f>
        <v>2012 Q2</v>
      </c>
      <c r="BD64" t="str">
        <f>IF($B$58&gt;=1,$BD$58,IF($B$60&gt;=1,$BD$60,IF($B$62&gt;=1,$BD$62,$BD$57)))</f>
        <v>2012 Q1</v>
      </c>
      <c r="BE64" t="str">
        <f>IF($B$58&gt;=1,$BE$58,IF($B$60&gt;=1,$BE$60,IF($B$62&gt;=1,$BE$62,$BE$57)))</f>
        <v>2011 Q4</v>
      </c>
      <c r="BF64" t="str">
        <f>IF($B$58&gt;=1,$BF$58,IF($B$60&gt;=1,$BF$60,IF($B$62&gt;=1,$BF$62,$BF$57)))</f>
        <v>2011 Q3</v>
      </c>
      <c r="BG64" t="str">
        <f>IF($B$58&gt;=1,$BG$58,IF($B$60&gt;=1,$BG$60,IF($B$62&gt;=1,$BG$62,$BG$57)))</f>
        <v>2011 Q2</v>
      </c>
      <c r="BH64" t="str">
        <f>IF($B$58&gt;=1,$BH$58,IF($B$60&gt;=1,$BH$60,IF($B$62&gt;=1,$BH$62,$BH$57)))</f>
        <v>2011 Q1</v>
      </c>
      <c r="BI64" t="str">
        <f>IF($B$58&gt;=1,$BI$58,IF($B$60&gt;=1,$BI$60,IF($B$62&gt;=1,$BI$62,$BI$57)))</f>
        <v>2010 Q4</v>
      </c>
      <c r="BJ64" t="str">
        <f>IF($B$58&gt;=1,$BJ$58,IF($B$60&gt;=1,$BJ$60,IF($B$62&gt;=1,$BJ$62,$BJ$57)))</f>
        <v>2010 Q3</v>
      </c>
      <c r="BN64" t="str">
        <f>""</f>
        <v/>
      </c>
      <c r="BO64" t="str">
        <f>""</f>
        <v/>
      </c>
      <c r="BP64" t="str">
        <f>""</f>
        <v/>
      </c>
      <c r="BQ64" t="str">
        <f>""</f>
        <v/>
      </c>
      <c r="BR64" t="str">
        <f>""</f>
        <v/>
      </c>
      <c r="BS64" t="str">
        <f>""</f>
        <v/>
      </c>
      <c r="BT64" t="str">
        <f>""</f>
        <v/>
      </c>
      <c r="BU64" t="str">
        <f>""</f>
        <v/>
      </c>
      <c r="BV64" t="str">
        <f>""</f>
        <v/>
      </c>
      <c r="BW64" t="str">
        <f>""</f>
        <v/>
      </c>
      <c r="BX64" t="str">
        <f>""</f>
        <v/>
      </c>
      <c r="BY64" t="str">
        <f>""</f>
        <v/>
      </c>
      <c r="BZ64" t="str">
        <f>""</f>
        <v/>
      </c>
      <c r="CA64" t="str">
        <f>""</f>
        <v/>
      </c>
      <c r="CB64" t="str">
        <f>""</f>
        <v/>
      </c>
      <c r="CC64" t="str">
        <f>""</f>
        <v/>
      </c>
      <c r="CD64" t="str">
        <f>""</f>
        <v/>
      </c>
      <c r="CE64" t="str">
        <f>""</f>
        <v/>
      </c>
      <c r="CF64" t="str">
        <f>""</f>
        <v/>
      </c>
      <c r="CG64" t="str">
        <f>""</f>
        <v/>
      </c>
      <c r="CH64" t="str">
        <f>""</f>
        <v/>
      </c>
      <c r="CI64" t="str">
        <f>""</f>
        <v/>
      </c>
      <c r="CJ64" t="str">
        <f>""</f>
        <v/>
      </c>
      <c r="CK64" t="str">
        <f>""</f>
        <v/>
      </c>
      <c r="CL64" t="str">
        <f>""</f>
        <v/>
      </c>
      <c r="CM64" t="str">
        <f>""</f>
        <v/>
      </c>
      <c r="CN64" t="str">
        <f>""</f>
        <v/>
      </c>
      <c r="CO64" t="str">
        <f>""</f>
        <v/>
      </c>
      <c r="CP64" t="str">
        <f>""</f>
        <v/>
      </c>
      <c r="CQ64" t="str">
        <f>""</f>
        <v/>
      </c>
      <c r="CR64" t="str">
        <f>""</f>
        <v/>
      </c>
      <c r="CS64" t="str">
        <f>""</f>
        <v/>
      </c>
      <c r="CT64" t="str">
        <f>""</f>
        <v/>
      </c>
      <c r="CU64" t="str">
        <f>""</f>
        <v/>
      </c>
      <c r="CV64" t="str">
        <f>""</f>
        <v/>
      </c>
      <c r="CW64" t="str">
        <f>""</f>
        <v/>
      </c>
      <c r="CX64" t="str">
        <f>""</f>
        <v/>
      </c>
      <c r="CY64" t="str">
        <f>""</f>
        <v/>
      </c>
      <c r="CZ64" t="str">
        <f>""</f>
        <v/>
      </c>
      <c r="DA64" t="str">
        <f>""</f>
        <v/>
      </c>
      <c r="DB64" t="str">
        <f>""</f>
        <v/>
      </c>
      <c r="DC64" t="str">
        <f>""</f>
        <v/>
      </c>
      <c r="DD64" t="str">
        <f>""</f>
        <v/>
      </c>
      <c r="DE64" t="str">
        <f>""</f>
        <v/>
      </c>
      <c r="DF64" t="str">
        <f>""</f>
        <v/>
      </c>
      <c r="DG64" t="str">
        <f>""</f>
        <v/>
      </c>
      <c r="DH64" t="str">
        <f>""</f>
        <v/>
      </c>
      <c r="DI64" t="str">
        <f>""</f>
        <v/>
      </c>
      <c r="DJ64" t="str">
        <f>""</f>
        <v/>
      </c>
      <c r="DK64" t="str">
        <f>""</f>
        <v/>
      </c>
      <c r="DL64" t="str">
        <f>""</f>
        <v/>
      </c>
      <c r="DM64" t="str">
        <f>""</f>
        <v/>
      </c>
      <c r="DN64" t="str">
        <f>""</f>
        <v/>
      </c>
      <c r="DO64" t="str">
        <f>""</f>
        <v/>
      </c>
      <c r="DP64" t="str">
        <f>""</f>
        <v/>
      </c>
      <c r="DQ64" t="str">
        <f>""</f>
        <v/>
      </c>
      <c r="DR64" t="str">
        <f>""</f>
        <v/>
      </c>
      <c r="DS64" t="str">
        <f>""</f>
        <v/>
      </c>
      <c r="DT64" t="str">
        <f>""</f>
        <v/>
      </c>
      <c r="DU64" t="str">
        <f>""</f>
        <v/>
      </c>
    </row>
    <row r="65" spans="1:125" x14ac:dyDescent="0.25">
      <c r="A65" t="str">
        <f>"BDH snapshot title"</f>
        <v>BDH snapshot title</v>
      </c>
      <c r="B65">
        <f>$B$64</f>
        <v>2</v>
      </c>
      <c r="C65" t="str">
        <f>IF(LEN($C$64)&lt;&gt;8,$C$64,RIGHT($C$64,4)&amp;" "&amp;MID($C$64,3,1)&amp;LEFT($C$64,1))</f>
        <v>2025 Q2</v>
      </c>
      <c r="D65" t="str">
        <f>IF(LEN($D$64)&lt;&gt;8,$D$64,RIGHT($D$64,4)&amp;" "&amp;MID($D$64,3,1)&amp;LEFT($D$64,1))</f>
        <v>2025 Q1</v>
      </c>
      <c r="E65" t="str">
        <f>IF(LEN($E$64)&lt;&gt;8,$E$64,RIGHT($E$64,4)&amp;" "&amp;MID($E$64,3,1)&amp;LEFT($E$64,1))</f>
        <v>2024 Q4</v>
      </c>
      <c r="F65" t="str">
        <f>IF(LEN($F$64)&lt;&gt;8,$F$64,RIGHT($F$64,4)&amp;" "&amp;MID($F$64,3,1)&amp;LEFT($F$64,1))</f>
        <v>2024 Q3</v>
      </c>
      <c r="G65" t="str">
        <f>IF(LEN($G$64)&lt;&gt;8,$G$64,RIGHT($G$64,4)&amp;" "&amp;MID($G$64,3,1)&amp;LEFT($G$64,1))</f>
        <v>2024 Q2</v>
      </c>
      <c r="H65" t="str">
        <f>IF(LEN($H$64)&lt;&gt;8,$H$64,RIGHT($H$64,4)&amp;" "&amp;MID($H$64,3,1)&amp;LEFT($H$64,1))</f>
        <v>2024 Q1</v>
      </c>
      <c r="I65" t="str">
        <f>IF(LEN($I$64)&lt;&gt;8,$I$64,RIGHT($I$64,4)&amp;" "&amp;MID($I$64,3,1)&amp;LEFT($I$64,1))</f>
        <v>2023 Q4</v>
      </c>
      <c r="J65" t="str">
        <f>IF(LEN($J$64)&lt;&gt;8,$J$64,RIGHT($J$64,4)&amp;" "&amp;MID($J$64,3,1)&amp;LEFT($J$64,1))</f>
        <v>2023 Q3</v>
      </c>
      <c r="K65" t="str">
        <f>IF(LEN($K$64)&lt;&gt;8,$K$64,RIGHT($K$64,4)&amp;" "&amp;MID($K$64,3,1)&amp;LEFT($K$64,1))</f>
        <v>2023 Q2</v>
      </c>
      <c r="L65" t="str">
        <f>IF(LEN($L$64)&lt;&gt;8,$L$64,RIGHT($L$64,4)&amp;" "&amp;MID($L$64,3,1)&amp;LEFT($L$64,1))</f>
        <v>2023 Q1</v>
      </c>
      <c r="M65" t="str">
        <f>IF(LEN($M$64)&lt;&gt;8,$M$64,RIGHT($M$64,4)&amp;" "&amp;MID($M$64,3,1)&amp;LEFT($M$64,1))</f>
        <v>2022 Q4</v>
      </c>
      <c r="N65" t="str">
        <f>IF(LEN($N$64)&lt;&gt;8,$N$64,RIGHT($N$64,4)&amp;" "&amp;MID($N$64,3,1)&amp;LEFT($N$64,1))</f>
        <v>2022 Q3</v>
      </c>
      <c r="O65" t="str">
        <f>IF(LEN($O$64)&lt;&gt;8,$O$64,RIGHT($O$64,4)&amp;" "&amp;MID($O$64,3,1)&amp;LEFT($O$64,1))</f>
        <v>2022 Q2</v>
      </c>
      <c r="P65" t="str">
        <f>IF(LEN($P$64)&lt;&gt;8,$P$64,RIGHT($P$64,4)&amp;" "&amp;MID($P$64,3,1)&amp;LEFT($P$64,1))</f>
        <v>2022 Q1</v>
      </c>
      <c r="Q65" t="str">
        <f>IF(LEN($Q$64)&lt;&gt;8,$Q$64,RIGHT($Q$64,4)&amp;" "&amp;MID($Q$64,3,1)&amp;LEFT($Q$64,1))</f>
        <v>2021 Q4</v>
      </c>
      <c r="R65" t="str">
        <f>IF(LEN($R$64)&lt;&gt;8,$R$64,RIGHT($R$64,4)&amp;" "&amp;MID($R$64,3,1)&amp;LEFT($R$64,1))</f>
        <v>2021 Q3</v>
      </c>
      <c r="S65" t="str">
        <f>IF(LEN($S$64)&lt;&gt;8,$S$64,RIGHT($S$64,4)&amp;" "&amp;MID($S$64,3,1)&amp;LEFT($S$64,1))</f>
        <v>2021 Q2</v>
      </c>
      <c r="T65" t="str">
        <f>IF(LEN($T$64)&lt;&gt;8,$T$64,RIGHT($T$64,4)&amp;" "&amp;MID($T$64,3,1)&amp;LEFT($T$64,1))</f>
        <v>2021 Q1</v>
      </c>
      <c r="U65" t="str">
        <f>IF(LEN($U$64)&lt;&gt;8,$U$64,RIGHT($U$64,4)&amp;" "&amp;MID($U$64,3,1)&amp;LEFT($U$64,1))</f>
        <v>2020 Q4</v>
      </c>
      <c r="V65" t="str">
        <f>IF(LEN($V$64)&lt;&gt;8,$V$64,RIGHT($V$64,4)&amp;" "&amp;MID($V$64,3,1)&amp;LEFT($V$64,1))</f>
        <v>2020 Q3</v>
      </c>
      <c r="W65" t="str">
        <f>IF(LEN($W$64)&lt;&gt;8,$W$64,RIGHT($W$64,4)&amp;" "&amp;MID($W$64,3,1)&amp;LEFT($W$64,1))</f>
        <v>2020 Q2</v>
      </c>
      <c r="X65" t="str">
        <f>IF(LEN($X$64)&lt;&gt;8,$X$64,RIGHT($X$64,4)&amp;" "&amp;MID($X$64,3,1)&amp;LEFT($X$64,1))</f>
        <v>2020 Q1</v>
      </c>
      <c r="Y65" t="str">
        <f>IF(LEN($Y$64)&lt;&gt;8,$Y$64,RIGHT($Y$64,4)&amp;" "&amp;MID($Y$64,3,1)&amp;LEFT($Y$64,1))</f>
        <v>2019 Q4</v>
      </c>
      <c r="Z65" t="str">
        <f>IF(LEN($Z$64)&lt;&gt;8,$Z$64,RIGHT($Z$64,4)&amp;" "&amp;MID($Z$64,3,1)&amp;LEFT($Z$64,1))</f>
        <v>2019 Q3</v>
      </c>
      <c r="AA65" t="str">
        <f>IF(LEN($AA$64)&lt;&gt;8,$AA$64,RIGHT($AA$64,4)&amp;" "&amp;MID($AA$64,3,1)&amp;LEFT($AA$64,1))</f>
        <v>2019 Q2</v>
      </c>
      <c r="AB65" t="str">
        <f>IF(LEN($AB$64)&lt;&gt;8,$AB$64,RIGHT($AB$64,4)&amp;" "&amp;MID($AB$64,3,1)&amp;LEFT($AB$64,1))</f>
        <v>2019 Q1</v>
      </c>
      <c r="AC65" t="str">
        <f>IF(LEN($AC$64)&lt;&gt;8,$AC$64,RIGHT($AC$64,4)&amp;" "&amp;MID($AC$64,3,1)&amp;LEFT($AC$64,1))</f>
        <v>2018 Q4</v>
      </c>
      <c r="AD65" t="str">
        <f>IF(LEN($AD$64)&lt;&gt;8,$AD$64,RIGHT($AD$64,4)&amp;" "&amp;MID($AD$64,3,1)&amp;LEFT($AD$64,1))</f>
        <v>2018 Q3</v>
      </c>
      <c r="AE65" t="str">
        <f>IF(LEN($AE$64)&lt;&gt;8,$AE$64,RIGHT($AE$64,4)&amp;" "&amp;MID($AE$64,3,1)&amp;LEFT($AE$64,1))</f>
        <v>2018 Q2</v>
      </c>
      <c r="AF65" t="str">
        <f>IF(LEN($AF$64)&lt;&gt;8,$AF$64,RIGHT($AF$64,4)&amp;" "&amp;MID($AF$64,3,1)&amp;LEFT($AF$64,1))</f>
        <v>2018 Q1</v>
      </c>
      <c r="AG65" t="str">
        <f>IF(LEN($AG$64)&lt;&gt;8,$AG$64,RIGHT($AG$64,4)&amp;" "&amp;MID($AG$64,3,1)&amp;LEFT($AG$64,1))</f>
        <v>2017 Q4</v>
      </c>
      <c r="AH65" t="str">
        <f>IF(LEN($AH$64)&lt;&gt;8,$AH$64,RIGHT($AH$64,4)&amp;" "&amp;MID($AH$64,3,1)&amp;LEFT($AH$64,1))</f>
        <v>2017 Q3</v>
      </c>
      <c r="AI65" t="str">
        <f>IF(LEN($AI$64)&lt;&gt;8,$AI$64,RIGHT($AI$64,4)&amp;" "&amp;MID($AI$64,3,1)&amp;LEFT($AI$64,1))</f>
        <v>2017 Q2</v>
      </c>
      <c r="AJ65" t="str">
        <f>IF(LEN($AJ$64)&lt;&gt;8,$AJ$64,RIGHT($AJ$64,4)&amp;" "&amp;MID($AJ$64,3,1)&amp;LEFT($AJ$64,1))</f>
        <v>2017 Q1</v>
      </c>
      <c r="AK65" t="str">
        <f>IF(LEN($AK$64)&lt;&gt;8,$AK$64,RIGHT($AK$64,4)&amp;" "&amp;MID($AK$64,3,1)&amp;LEFT($AK$64,1))</f>
        <v>2016 Q4</v>
      </c>
      <c r="AL65" t="str">
        <f>IF(LEN($AL$64)&lt;&gt;8,$AL$64,RIGHT($AL$64,4)&amp;" "&amp;MID($AL$64,3,1)&amp;LEFT($AL$64,1))</f>
        <v>2016 Q3</v>
      </c>
      <c r="AM65" t="str">
        <f>IF(LEN($AM$64)&lt;&gt;8,$AM$64,RIGHT($AM$64,4)&amp;" "&amp;MID($AM$64,3,1)&amp;LEFT($AM$64,1))</f>
        <v>2016 Q2</v>
      </c>
      <c r="AN65" t="str">
        <f>IF(LEN($AN$64)&lt;&gt;8,$AN$64,RIGHT($AN$64,4)&amp;" "&amp;MID($AN$64,3,1)&amp;LEFT($AN$64,1))</f>
        <v>2016 Q1</v>
      </c>
      <c r="AO65" t="str">
        <f>IF(LEN($AO$64)&lt;&gt;8,$AO$64,RIGHT($AO$64,4)&amp;" "&amp;MID($AO$64,3,1)&amp;LEFT($AO$64,1))</f>
        <v>2015 Q4</v>
      </c>
      <c r="AP65" t="str">
        <f>IF(LEN($AP$64)&lt;&gt;8,$AP$64,RIGHT($AP$64,4)&amp;" "&amp;MID($AP$64,3,1)&amp;LEFT($AP$64,1))</f>
        <v>2015 Q3</v>
      </c>
      <c r="AQ65" t="str">
        <f>IF(LEN($AQ$64)&lt;&gt;8,$AQ$64,RIGHT($AQ$64,4)&amp;" "&amp;MID($AQ$64,3,1)&amp;LEFT($AQ$64,1))</f>
        <v>2015 Q2</v>
      </c>
      <c r="AR65" t="str">
        <f>IF(LEN($AR$64)&lt;&gt;8,$AR$64,RIGHT($AR$64,4)&amp;" "&amp;MID($AR$64,3,1)&amp;LEFT($AR$64,1))</f>
        <v>2015 Q1</v>
      </c>
      <c r="AS65" t="str">
        <f>IF(LEN($AS$64)&lt;&gt;8,$AS$64,RIGHT($AS$64,4)&amp;" "&amp;MID($AS$64,3,1)&amp;LEFT($AS$64,1))</f>
        <v>2014 Q4</v>
      </c>
      <c r="AT65" t="str">
        <f>IF(LEN($AT$64)&lt;&gt;8,$AT$64,RIGHT($AT$64,4)&amp;" "&amp;MID($AT$64,3,1)&amp;LEFT($AT$64,1))</f>
        <v>2014 Q3</v>
      </c>
      <c r="AU65" t="str">
        <f>IF(LEN($AU$64)&lt;&gt;8,$AU$64,RIGHT($AU$64,4)&amp;" "&amp;MID($AU$64,3,1)&amp;LEFT($AU$64,1))</f>
        <v>2014 Q2</v>
      </c>
      <c r="AV65" t="str">
        <f>IF(LEN($AV$64)&lt;&gt;8,$AV$64,RIGHT($AV$64,4)&amp;" "&amp;MID($AV$64,3,1)&amp;LEFT($AV$64,1))</f>
        <v>2014 Q1</v>
      </c>
      <c r="AW65" t="str">
        <f>IF(LEN($AW$64)&lt;&gt;8,$AW$64,RIGHT($AW$64,4)&amp;" "&amp;MID($AW$64,3,1)&amp;LEFT($AW$64,1))</f>
        <v>2013 Q4</v>
      </c>
      <c r="AX65" t="str">
        <f>IF(LEN($AX$64)&lt;&gt;8,$AX$64,RIGHT($AX$64,4)&amp;" "&amp;MID($AX$64,3,1)&amp;LEFT($AX$64,1))</f>
        <v>2013 Q3</v>
      </c>
      <c r="AY65" t="str">
        <f>IF(LEN($AY$64)&lt;&gt;8,$AY$64,RIGHT($AY$64,4)&amp;" "&amp;MID($AY$64,3,1)&amp;LEFT($AY$64,1))</f>
        <v>2013 Q2</v>
      </c>
      <c r="AZ65" t="str">
        <f>IF(LEN($AZ$64)&lt;&gt;8,$AZ$64,RIGHT($AZ$64,4)&amp;" "&amp;MID($AZ$64,3,1)&amp;LEFT($AZ$64,1))</f>
        <v>2013 Q1</v>
      </c>
      <c r="BA65" t="str">
        <f>IF(LEN($BA$64)&lt;&gt;8,$BA$64,RIGHT($BA$64,4)&amp;" "&amp;MID($BA$64,3,1)&amp;LEFT($BA$64,1))</f>
        <v>2012 Q4</v>
      </c>
      <c r="BB65" t="str">
        <f>IF(LEN($BB$64)&lt;&gt;8,$BB$64,RIGHT($BB$64,4)&amp;" "&amp;MID($BB$64,3,1)&amp;LEFT($BB$64,1))</f>
        <v>2012 Q3</v>
      </c>
      <c r="BC65" t="str">
        <f>IF(LEN($BC$64)&lt;&gt;8,$BC$64,RIGHT($BC$64,4)&amp;" "&amp;MID($BC$64,3,1)&amp;LEFT($BC$64,1))</f>
        <v>2012 Q2</v>
      </c>
      <c r="BD65" t="str">
        <f>IF(LEN($BD$64)&lt;&gt;8,$BD$64,RIGHT($BD$64,4)&amp;" "&amp;MID($BD$64,3,1)&amp;LEFT($BD$64,1))</f>
        <v>2012 Q1</v>
      </c>
      <c r="BE65" t="str">
        <f>IF(LEN($BE$64)&lt;&gt;8,$BE$64,RIGHT($BE$64,4)&amp;" "&amp;MID($BE$64,3,1)&amp;LEFT($BE$64,1))</f>
        <v>2011 Q4</v>
      </c>
      <c r="BF65" t="str">
        <f>IF(LEN($BF$64)&lt;&gt;8,$BF$64,RIGHT($BF$64,4)&amp;" "&amp;MID($BF$64,3,1)&amp;LEFT($BF$64,1))</f>
        <v>2011 Q3</v>
      </c>
      <c r="BG65" t="str">
        <f>IF(LEN($BG$64)&lt;&gt;8,$BG$64,RIGHT($BG$64,4)&amp;" "&amp;MID($BG$64,3,1)&amp;LEFT($BG$64,1))</f>
        <v>2011 Q2</v>
      </c>
      <c r="BH65" t="str">
        <f>IF(LEN($BH$64)&lt;&gt;8,$BH$64,RIGHT($BH$64,4)&amp;" "&amp;MID($BH$64,3,1)&amp;LEFT($BH$64,1))</f>
        <v>2011 Q1</v>
      </c>
      <c r="BI65" t="str">
        <f>IF(LEN($BI$64)&lt;&gt;8,$BI$64,RIGHT($BI$64,4)&amp;" "&amp;MID($BI$64,3,1)&amp;LEFT($BI$64,1))</f>
        <v>2010 Q4</v>
      </c>
      <c r="BJ65" t="str">
        <f>IF(LEN($BJ$64)&lt;&gt;8,$BJ$64,RIGHT($BJ$64,4)&amp;" "&amp;MID($BJ$64,3,1)&amp;LEFT($BJ$64,1))</f>
        <v>2010 Q3</v>
      </c>
      <c r="BN65" t="str">
        <f>""</f>
        <v/>
      </c>
      <c r="BO65" t="str">
        <f>""</f>
        <v/>
      </c>
      <c r="BP65" t="str">
        <f>""</f>
        <v/>
      </c>
      <c r="BQ65" t="str">
        <f>""</f>
        <v/>
      </c>
      <c r="BR65" t="str">
        <f>""</f>
        <v/>
      </c>
      <c r="BS65" t="str">
        <f>""</f>
        <v/>
      </c>
      <c r="BT65" t="str">
        <f>""</f>
        <v/>
      </c>
      <c r="BU65" t="str">
        <f>""</f>
        <v/>
      </c>
      <c r="BV65" t="str">
        <f>""</f>
        <v/>
      </c>
      <c r="BW65" t="str">
        <f>""</f>
        <v/>
      </c>
      <c r="BX65" t="str">
        <f>""</f>
        <v/>
      </c>
      <c r="BY65" t="str">
        <f>""</f>
        <v/>
      </c>
      <c r="BZ65" t="str">
        <f>""</f>
        <v/>
      </c>
      <c r="CA65" t="str">
        <f>""</f>
        <v/>
      </c>
      <c r="CB65" t="str">
        <f>""</f>
        <v/>
      </c>
      <c r="CC65" t="str">
        <f>""</f>
        <v/>
      </c>
      <c r="CD65" t="str">
        <f>""</f>
        <v/>
      </c>
      <c r="CE65" t="str">
        <f>""</f>
        <v/>
      </c>
      <c r="CF65" t="str">
        <f>""</f>
        <v/>
      </c>
      <c r="CG65" t="str">
        <f>""</f>
        <v/>
      </c>
      <c r="CH65" t="str">
        <f>""</f>
        <v/>
      </c>
      <c r="CI65" t="str">
        <f>""</f>
        <v/>
      </c>
      <c r="CJ65" t="str">
        <f>""</f>
        <v/>
      </c>
      <c r="CK65" t="str">
        <f>""</f>
        <v/>
      </c>
      <c r="CL65" t="str">
        <f>""</f>
        <v/>
      </c>
      <c r="CM65" t="str">
        <f>""</f>
        <v/>
      </c>
      <c r="CN65" t="str">
        <f>""</f>
        <v/>
      </c>
      <c r="CO65" t="str">
        <f>""</f>
        <v/>
      </c>
      <c r="CP65" t="str">
        <f>""</f>
        <v/>
      </c>
      <c r="CQ65" t="str">
        <f>""</f>
        <v/>
      </c>
      <c r="CR65" t="str">
        <f>""</f>
        <v/>
      </c>
      <c r="CS65" t="str">
        <f>""</f>
        <v/>
      </c>
      <c r="CT65" t="str">
        <f>""</f>
        <v/>
      </c>
      <c r="CU65" t="str">
        <f>""</f>
        <v/>
      </c>
      <c r="CV65" t="str">
        <f>""</f>
        <v/>
      </c>
      <c r="CW65" t="str">
        <f>""</f>
        <v/>
      </c>
      <c r="CX65" t="str">
        <f>""</f>
        <v/>
      </c>
      <c r="CY65" t="str">
        <f>""</f>
        <v/>
      </c>
      <c r="CZ65" t="str">
        <f>""</f>
        <v/>
      </c>
      <c r="DA65" t="str">
        <f>""</f>
        <v/>
      </c>
      <c r="DB65" t="str">
        <f>""</f>
        <v/>
      </c>
      <c r="DC65" t="str">
        <f>""</f>
        <v/>
      </c>
      <c r="DD65" t="str">
        <f>""</f>
        <v/>
      </c>
      <c r="DE65" t="str">
        <f>""</f>
        <v/>
      </c>
      <c r="DF65" t="str">
        <f>""</f>
        <v/>
      </c>
      <c r="DG65" t="str">
        <f>""</f>
        <v/>
      </c>
      <c r="DH65" t="str">
        <f>""</f>
        <v/>
      </c>
      <c r="DI65" t="str">
        <f>""</f>
        <v/>
      </c>
      <c r="DJ65" t="str">
        <f>""</f>
        <v/>
      </c>
      <c r="DK65" t="str">
        <f>""</f>
        <v/>
      </c>
      <c r="DL65" t="str">
        <f>""</f>
        <v/>
      </c>
      <c r="DM65" t="str">
        <f>""</f>
        <v/>
      </c>
      <c r="DN65" t="str">
        <f>""</f>
        <v/>
      </c>
      <c r="DO65" t="str">
        <f>""</f>
        <v/>
      </c>
      <c r="DP65" t="str">
        <f>""</f>
        <v/>
      </c>
      <c r="DQ65" t="str">
        <f>""</f>
        <v/>
      </c>
      <c r="DR65" t="str">
        <f>""</f>
        <v/>
      </c>
      <c r="DS65" t="str">
        <f>""</f>
        <v/>
      </c>
      <c r="DT65" t="str">
        <f>""</f>
        <v/>
      </c>
      <c r="DU65" t="str">
        <f>""</f>
        <v/>
      </c>
    </row>
    <row r="66" spans="1:125" x14ac:dyDescent="0.25">
      <c r="A66" t="str">
        <f>"BDH dynamic header0"</f>
        <v>BDH dynamic header0</v>
      </c>
      <c r="B66">
        <f ca="1">IF(OR(ISERROR($C$66),ISBLANK($C$66),ISNUMBER(SEARCH("N/A",$C$66) ),ISERROR($C$67),ISBLANK($C$67)),0,1)</f>
        <v>0</v>
      </c>
      <c r="C66" t="str">
        <f ca="1">_xll.BDH($B$33,$C$33,$B$29,$B$30,"PER=CQ","Dts=S","DtFmt=FI", "rows=2","Dir=H","Points=60","Sort=R","Days=A","Fill=B", )</f>
        <v>#N/A Invalid Parameter: Invalid override field id specified</v>
      </c>
      <c r="BN66" t="str">
        <f>""</f>
        <v/>
      </c>
      <c r="BO66" t="str">
        <f>""</f>
        <v/>
      </c>
      <c r="BP66" t="str">
        <f>""</f>
        <v/>
      </c>
      <c r="BQ66" t="str">
        <f>""</f>
        <v/>
      </c>
      <c r="BR66" t="str">
        <f>""</f>
        <v/>
      </c>
      <c r="BS66" t="str">
        <f>""</f>
        <v/>
      </c>
      <c r="BT66" t="str">
        <f>""</f>
        <v/>
      </c>
      <c r="BU66" t="str">
        <f>""</f>
        <v/>
      </c>
      <c r="BV66" t="str">
        <f>""</f>
        <v/>
      </c>
      <c r="BW66" t="str">
        <f>""</f>
        <v/>
      </c>
      <c r="BX66" t="str">
        <f>""</f>
        <v/>
      </c>
      <c r="BY66" t="str">
        <f>""</f>
        <v/>
      </c>
      <c r="BZ66" t="str">
        <f>""</f>
        <v/>
      </c>
      <c r="CA66" t="str">
        <f>""</f>
        <v/>
      </c>
      <c r="CB66" t="str">
        <f>""</f>
        <v/>
      </c>
      <c r="CC66" t="str">
        <f>""</f>
        <v/>
      </c>
      <c r="CD66" t="str">
        <f>""</f>
        <v/>
      </c>
      <c r="CE66" t="str">
        <f>""</f>
        <v/>
      </c>
      <c r="CF66" t="str">
        <f>""</f>
        <v/>
      </c>
      <c r="CG66" t="str">
        <f>""</f>
        <v/>
      </c>
      <c r="CH66" t="str">
        <f>""</f>
        <v/>
      </c>
      <c r="CI66" t="str">
        <f>""</f>
        <v/>
      </c>
      <c r="CJ66" t="str">
        <f>""</f>
        <v/>
      </c>
      <c r="CK66" t="str">
        <f>""</f>
        <v/>
      </c>
      <c r="CL66" t="str">
        <f>""</f>
        <v/>
      </c>
      <c r="CM66" t="str">
        <f>""</f>
        <v/>
      </c>
      <c r="CN66" t="str">
        <f>""</f>
        <v/>
      </c>
      <c r="CO66" t="str">
        <f>""</f>
        <v/>
      </c>
      <c r="CP66" t="str">
        <f>""</f>
        <v/>
      </c>
      <c r="CQ66" t="str">
        <f>""</f>
        <v/>
      </c>
      <c r="CR66" t="str">
        <f>""</f>
        <v/>
      </c>
      <c r="CS66" t="str">
        <f>""</f>
        <v/>
      </c>
      <c r="CT66" t="str">
        <f>""</f>
        <v/>
      </c>
      <c r="CU66" t="str">
        <f>""</f>
        <v/>
      </c>
      <c r="CV66" t="str">
        <f>""</f>
        <v/>
      </c>
      <c r="CW66" t="str">
        <f>""</f>
        <v/>
      </c>
      <c r="CX66" t="str">
        <f>""</f>
        <v/>
      </c>
      <c r="CY66" t="str">
        <f>""</f>
        <v/>
      </c>
      <c r="CZ66" t="str">
        <f>""</f>
        <v/>
      </c>
      <c r="DA66" t="str">
        <f>""</f>
        <v/>
      </c>
      <c r="DB66" t="str">
        <f>""</f>
        <v/>
      </c>
      <c r="DC66" t="str">
        <f>""</f>
        <v/>
      </c>
      <c r="DD66" t="str">
        <f>""</f>
        <v/>
      </c>
      <c r="DE66" t="str">
        <f>""</f>
        <v/>
      </c>
      <c r="DF66" t="str">
        <f>""</f>
        <v/>
      </c>
      <c r="DG66" t="str">
        <f>""</f>
        <v/>
      </c>
      <c r="DH66" t="str">
        <f>""</f>
        <v/>
      </c>
      <c r="DI66" t="str">
        <f>""</f>
        <v/>
      </c>
      <c r="DJ66" t="str">
        <f>""</f>
        <v/>
      </c>
      <c r="DK66" t="str">
        <f>""</f>
        <v/>
      </c>
      <c r="DL66" t="str">
        <f>""</f>
        <v/>
      </c>
      <c r="DM66" t="str">
        <f>""</f>
        <v/>
      </c>
      <c r="DN66" t="str">
        <f>""</f>
        <v/>
      </c>
      <c r="DO66" t="str">
        <f>""</f>
        <v/>
      </c>
      <c r="DP66" t="str">
        <f>""</f>
        <v/>
      </c>
      <c r="DQ66" t="str">
        <f>""</f>
        <v/>
      </c>
      <c r="DR66" t="str">
        <f>""</f>
        <v/>
      </c>
      <c r="DS66" t="str">
        <f>""</f>
        <v/>
      </c>
      <c r="DT66" t="str">
        <f>""</f>
        <v/>
      </c>
      <c r="DU66" t="str">
        <f>""</f>
        <v/>
      </c>
    </row>
    <row r="67" spans="1:125" x14ac:dyDescent="0.25">
      <c r="A67" t="str">
        <f>"BDH dynamic result0"</f>
        <v>BDH dynamic result0</v>
      </c>
      <c r="BN67" t="str">
        <f>""</f>
        <v/>
      </c>
      <c r="BO67" t="str">
        <f>""</f>
        <v/>
      </c>
      <c r="BP67" t="str">
        <f>""</f>
        <v/>
      </c>
      <c r="BQ67" t="str">
        <f>""</f>
        <v/>
      </c>
      <c r="BR67" t="str">
        <f>""</f>
        <v/>
      </c>
      <c r="BS67" t="str">
        <f>""</f>
        <v/>
      </c>
      <c r="BT67" t="str">
        <f>""</f>
        <v/>
      </c>
      <c r="BU67" t="str">
        <f>""</f>
        <v/>
      </c>
      <c r="BV67" t="str">
        <f>""</f>
        <v/>
      </c>
      <c r="BW67" t="str">
        <f>""</f>
        <v/>
      </c>
      <c r="BX67" t="str">
        <f>""</f>
        <v/>
      </c>
      <c r="BY67" t="str">
        <f>""</f>
        <v/>
      </c>
      <c r="BZ67" t="str">
        <f>""</f>
        <v/>
      </c>
      <c r="CA67" t="str">
        <f>""</f>
        <v/>
      </c>
      <c r="CB67" t="str">
        <f>""</f>
        <v/>
      </c>
      <c r="CC67" t="str">
        <f>""</f>
        <v/>
      </c>
      <c r="CD67" t="str">
        <f>""</f>
        <v/>
      </c>
      <c r="CE67" t="str">
        <f>""</f>
        <v/>
      </c>
      <c r="CF67" t="str">
        <f>""</f>
        <v/>
      </c>
      <c r="CG67" t="str">
        <f>""</f>
        <v/>
      </c>
      <c r="CH67" t="str">
        <f>""</f>
        <v/>
      </c>
      <c r="CI67" t="str">
        <f>""</f>
        <v/>
      </c>
      <c r="CJ67" t="str">
        <f>""</f>
        <v/>
      </c>
      <c r="CK67" t="str">
        <f>""</f>
        <v/>
      </c>
      <c r="CL67" t="str">
        <f>""</f>
        <v/>
      </c>
      <c r="CM67" t="str">
        <f>""</f>
        <v/>
      </c>
      <c r="CN67" t="str">
        <f>""</f>
        <v/>
      </c>
      <c r="CO67" t="str">
        <f>""</f>
        <v/>
      </c>
      <c r="CP67" t="str">
        <f>""</f>
        <v/>
      </c>
      <c r="CQ67" t="str">
        <f>""</f>
        <v/>
      </c>
      <c r="CR67" t="str">
        <f>""</f>
        <v/>
      </c>
      <c r="CS67" t="str">
        <f>""</f>
        <v/>
      </c>
      <c r="CT67" t="str">
        <f>""</f>
        <v/>
      </c>
      <c r="CU67" t="str">
        <f>""</f>
        <v/>
      </c>
      <c r="CV67" t="str">
        <f>""</f>
        <v/>
      </c>
      <c r="CW67" t="str">
        <f>""</f>
        <v/>
      </c>
      <c r="CX67" t="str">
        <f>""</f>
        <v/>
      </c>
      <c r="CY67" t="str">
        <f>""</f>
        <v/>
      </c>
      <c r="CZ67" t="str">
        <f>""</f>
        <v/>
      </c>
      <c r="DA67" t="str">
        <f>""</f>
        <v/>
      </c>
      <c r="DB67" t="str">
        <f>""</f>
        <v/>
      </c>
      <c r="DC67" t="str">
        <f>""</f>
        <v/>
      </c>
      <c r="DD67" t="str">
        <f>""</f>
        <v/>
      </c>
      <c r="DE67" t="str">
        <f>""</f>
        <v/>
      </c>
      <c r="DF67" t="str">
        <f>""</f>
        <v/>
      </c>
      <c r="DG67" t="str">
        <f>""</f>
        <v/>
      </c>
      <c r="DH67" t="str">
        <f>""</f>
        <v/>
      </c>
      <c r="DI67" t="str">
        <f>""</f>
        <v/>
      </c>
      <c r="DJ67" t="str">
        <f>""</f>
        <v/>
      </c>
      <c r="DK67" t="str">
        <f>""</f>
        <v/>
      </c>
      <c r="DL67" t="str">
        <f>""</f>
        <v/>
      </c>
      <c r="DM67" t="str">
        <f>""</f>
        <v/>
      </c>
      <c r="DN67" t="str">
        <f>""</f>
        <v/>
      </c>
      <c r="DO67" t="str">
        <f>""</f>
        <v/>
      </c>
      <c r="DP67" t="str">
        <f>""</f>
        <v/>
      </c>
      <c r="DQ67" t="str">
        <f>""</f>
        <v/>
      </c>
      <c r="DR67" t="str">
        <f>""</f>
        <v/>
      </c>
      <c r="DS67" t="str">
        <f>""</f>
        <v/>
      </c>
      <c r="DT67" t="str">
        <f>""</f>
        <v/>
      </c>
      <c r="DU67" t="str">
        <f>""</f>
        <v/>
      </c>
    </row>
    <row r="68" spans="1:125" x14ac:dyDescent="0.25">
      <c r="A68" t="str">
        <f>"BDH dynamic header1"</f>
        <v>BDH dynamic header1</v>
      </c>
      <c r="B68">
        <f ca="1">IF(OR(ISERROR($C$68),ISBLANK($C$68),ISNUMBER(SEARCH("N/A",$C$68) ),ISERROR($C$69),ISBLANK($C$69)),0,1)</f>
        <v>0</v>
      </c>
      <c r="C68" t="str">
        <f ca="1">_xll.BDH($B$34,$C$34,$B$29,$B$30,"PER=CQ","Dts=S","DtFmt=FI", "rows=2","Dir=H","Points=60","Sort=R","Days=A","Fill=B", )</f>
        <v>#N/A Invalid Parameter: Invalid override field id specified</v>
      </c>
      <c r="BN68" t="str">
        <f>""</f>
        <v/>
      </c>
      <c r="BO68" t="str">
        <f>""</f>
        <v/>
      </c>
      <c r="BP68" t="str">
        <f>""</f>
        <v/>
      </c>
      <c r="BQ68" t="str">
        <f>""</f>
        <v/>
      </c>
      <c r="BR68" t="str">
        <f>""</f>
        <v/>
      </c>
      <c r="BS68" t="str">
        <f>""</f>
        <v/>
      </c>
      <c r="BT68" t="str">
        <f>""</f>
        <v/>
      </c>
      <c r="BU68" t="str">
        <f>""</f>
        <v/>
      </c>
      <c r="BV68" t="str">
        <f>""</f>
        <v/>
      </c>
      <c r="BW68" t="str">
        <f>""</f>
        <v/>
      </c>
      <c r="BX68" t="str">
        <f>""</f>
        <v/>
      </c>
      <c r="BY68" t="str">
        <f>""</f>
        <v/>
      </c>
      <c r="BZ68" t="str">
        <f>""</f>
        <v/>
      </c>
      <c r="CA68" t="str">
        <f>""</f>
        <v/>
      </c>
      <c r="CB68" t="str">
        <f>""</f>
        <v/>
      </c>
      <c r="CC68" t="str">
        <f>""</f>
        <v/>
      </c>
      <c r="CD68" t="str">
        <f>""</f>
        <v/>
      </c>
      <c r="CE68" t="str">
        <f>""</f>
        <v/>
      </c>
      <c r="CF68" t="str">
        <f>""</f>
        <v/>
      </c>
      <c r="CG68" t="str">
        <f>""</f>
        <v/>
      </c>
      <c r="CH68" t="str">
        <f>""</f>
        <v/>
      </c>
      <c r="CI68" t="str">
        <f>""</f>
        <v/>
      </c>
      <c r="CJ68" t="str">
        <f>""</f>
        <v/>
      </c>
      <c r="CK68" t="str">
        <f>""</f>
        <v/>
      </c>
      <c r="CL68" t="str">
        <f>""</f>
        <v/>
      </c>
      <c r="CM68" t="str">
        <f>""</f>
        <v/>
      </c>
      <c r="CN68" t="str">
        <f>""</f>
        <v/>
      </c>
      <c r="CO68" t="str">
        <f>""</f>
        <v/>
      </c>
      <c r="CP68" t="str">
        <f>""</f>
        <v/>
      </c>
      <c r="CQ68" t="str">
        <f>""</f>
        <v/>
      </c>
      <c r="CR68" t="str">
        <f>""</f>
        <v/>
      </c>
      <c r="CS68" t="str">
        <f>""</f>
        <v/>
      </c>
      <c r="CT68" t="str">
        <f>""</f>
        <v/>
      </c>
      <c r="CU68" t="str">
        <f>""</f>
        <v/>
      </c>
      <c r="CV68" t="str">
        <f>""</f>
        <v/>
      </c>
      <c r="CW68" t="str">
        <f>""</f>
        <v/>
      </c>
      <c r="CX68" t="str">
        <f>""</f>
        <v/>
      </c>
      <c r="CY68" t="str">
        <f>""</f>
        <v/>
      </c>
      <c r="CZ68" t="str">
        <f>""</f>
        <v/>
      </c>
      <c r="DA68" t="str">
        <f>""</f>
        <v/>
      </c>
      <c r="DB68" t="str">
        <f>""</f>
        <v/>
      </c>
      <c r="DC68" t="str">
        <f>""</f>
        <v/>
      </c>
      <c r="DD68" t="str">
        <f>""</f>
        <v/>
      </c>
      <c r="DE68" t="str">
        <f>""</f>
        <v/>
      </c>
      <c r="DF68" t="str">
        <f>""</f>
        <v/>
      </c>
      <c r="DG68" t="str">
        <f>""</f>
        <v/>
      </c>
      <c r="DH68" t="str">
        <f>""</f>
        <v/>
      </c>
      <c r="DI68" t="str">
        <f>""</f>
        <v/>
      </c>
      <c r="DJ68" t="str">
        <f>""</f>
        <v/>
      </c>
      <c r="DK68" t="str">
        <f>""</f>
        <v/>
      </c>
      <c r="DL68" t="str">
        <f>""</f>
        <v/>
      </c>
      <c r="DM68" t="str">
        <f>""</f>
        <v/>
      </c>
      <c r="DN68" t="str">
        <f>""</f>
        <v/>
      </c>
      <c r="DO68" t="str">
        <f>""</f>
        <v/>
      </c>
      <c r="DP68" t="str">
        <f>""</f>
        <v/>
      </c>
      <c r="DQ68" t="str">
        <f>""</f>
        <v/>
      </c>
      <c r="DR68" t="str">
        <f>""</f>
        <v/>
      </c>
      <c r="DS68" t="str">
        <f>""</f>
        <v/>
      </c>
      <c r="DT68" t="str">
        <f>""</f>
        <v/>
      </c>
      <c r="DU68" t="str">
        <f>""</f>
        <v/>
      </c>
    </row>
    <row r="69" spans="1:125" x14ac:dyDescent="0.25">
      <c r="A69" t="str">
        <f>"BDH dynamic result1"</f>
        <v>BDH dynamic result1</v>
      </c>
      <c r="BN69" t="str">
        <f>""</f>
        <v/>
      </c>
      <c r="BO69" t="str">
        <f>""</f>
        <v/>
      </c>
      <c r="BP69" t="str">
        <f>""</f>
        <v/>
      </c>
      <c r="BQ69" t="str">
        <f>""</f>
        <v/>
      </c>
      <c r="BR69" t="str">
        <f>""</f>
        <v/>
      </c>
      <c r="BS69" t="str">
        <f>""</f>
        <v/>
      </c>
      <c r="BT69" t="str">
        <f>""</f>
        <v/>
      </c>
      <c r="BU69" t="str">
        <f>""</f>
        <v/>
      </c>
      <c r="BV69" t="str">
        <f>""</f>
        <v/>
      </c>
      <c r="BW69" t="str">
        <f>""</f>
        <v/>
      </c>
      <c r="BX69" t="str">
        <f>""</f>
        <v/>
      </c>
      <c r="BY69" t="str">
        <f>""</f>
        <v/>
      </c>
      <c r="BZ69" t="str">
        <f>""</f>
        <v/>
      </c>
      <c r="CA69" t="str">
        <f>""</f>
        <v/>
      </c>
      <c r="CB69" t="str">
        <f>""</f>
        <v/>
      </c>
      <c r="CC69" t="str">
        <f>""</f>
        <v/>
      </c>
      <c r="CD69" t="str">
        <f>""</f>
        <v/>
      </c>
      <c r="CE69" t="str">
        <f>""</f>
        <v/>
      </c>
      <c r="CF69" t="str">
        <f>""</f>
        <v/>
      </c>
      <c r="CG69" t="str">
        <f>""</f>
        <v/>
      </c>
      <c r="CH69" t="str">
        <f>""</f>
        <v/>
      </c>
      <c r="CI69" t="str">
        <f>""</f>
        <v/>
      </c>
      <c r="CJ69" t="str">
        <f>""</f>
        <v/>
      </c>
      <c r="CK69" t="str">
        <f>""</f>
        <v/>
      </c>
      <c r="CL69" t="str">
        <f>""</f>
        <v/>
      </c>
      <c r="CM69" t="str">
        <f>""</f>
        <v/>
      </c>
      <c r="CN69" t="str">
        <f>""</f>
        <v/>
      </c>
      <c r="CO69" t="str">
        <f>""</f>
        <v/>
      </c>
      <c r="CP69" t="str">
        <f>""</f>
        <v/>
      </c>
      <c r="CQ69" t="str">
        <f>""</f>
        <v/>
      </c>
      <c r="CR69" t="str">
        <f>""</f>
        <v/>
      </c>
      <c r="CS69" t="str">
        <f>""</f>
        <v/>
      </c>
      <c r="CT69" t="str">
        <f>""</f>
        <v/>
      </c>
      <c r="CU69" t="str">
        <f>""</f>
        <v/>
      </c>
      <c r="CV69" t="str">
        <f>""</f>
        <v/>
      </c>
      <c r="CW69" t="str">
        <f>""</f>
        <v/>
      </c>
      <c r="CX69" t="str">
        <f>""</f>
        <v/>
      </c>
      <c r="CY69" t="str">
        <f>""</f>
        <v/>
      </c>
      <c r="CZ69" t="str">
        <f>""</f>
        <v/>
      </c>
      <c r="DA69" t="str">
        <f>""</f>
        <v/>
      </c>
      <c r="DB69" t="str">
        <f>""</f>
        <v/>
      </c>
      <c r="DC69" t="str">
        <f>""</f>
        <v/>
      </c>
      <c r="DD69" t="str">
        <f>""</f>
        <v/>
      </c>
      <c r="DE69" t="str">
        <f>""</f>
        <v/>
      </c>
      <c r="DF69" t="str">
        <f>""</f>
        <v/>
      </c>
      <c r="DG69" t="str">
        <f>""</f>
        <v/>
      </c>
      <c r="DH69" t="str">
        <f>""</f>
        <v/>
      </c>
      <c r="DI69" t="str">
        <f>""</f>
        <v/>
      </c>
      <c r="DJ69" t="str">
        <f>""</f>
        <v/>
      </c>
      <c r="DK69" t="str">
        <f>""</f>
        <v/>
      </c>
      <c r="DL69" t="str">
        <f>""</f>
        <v/>
      </c>
      <c r="DM69" t="str">
        <f>""</f>
        <v/>
      </c>
      <c r="DN69" t="str">
        <f>""</f>
        <v/>
      </c>
      <c r="DO69" t="str">
        <f>""</f>
        <v/>
      </c>
      <c r="DP69" t="str">
        <f>""</f>
        <v/>
      </c>
      <c r="DQ69" t="str">
        <f>""</f>
        <v/>
      </c>
      <c r="DR69" t="str">
        <f>""</f>
        <v/>
      </c>
      <c r="DS69" t="str">
        <f>""</f>
        <v/>
      </c>
      <c r="DT69" t="str">
        <f>""</f>
        <v/>
      </c>
      <c r="DU69" t="str">
        <f>""</f>
        <v/>
      </c>
    </row>
    <row r="70" spans="1:125" x14ac:dyDescent="0.25">
      <c r="A70" t="str">
        <f>"BDH dynamic header2"</f>
        <v>BDH dynamic header2</v>
      </c>
      <c r="B70">
        <f ca="1">IF(OR(ISERROR($C$70),ISBLANK($C$70),ISNUMBER(SEARCH("N/A",$C$70) ),ISERROR($C$71),ISBLANK($C$71)),0,1)</f>
        <v>0</v>
      </c>
      <c r="C70" t="str">
        <f ca="1">_xll.BDH($B$35,$C$35,$B$29,$B$30,"PER=CQ","Dts=S","DtFmt=FI", "rows=2","Dir=H","Points=60","Sort=R","Days=A","Fill=B", )</f>
        <v>#N/A Invalid Parameter: Invalid override field id specified</v>
      </c>
      <c r="BN70" t="str">
        <f>""</f>
        <v/>
      </c>
      <c r="BO70" t="str">
        <f>""</f>
        <v/>
      </c>
      <c r="BP70" t="str">
        <f>""</f>
        <v/>
      </c>
      <c r="BQ70" t="str">
        <f>""</f>
        <v/>
      </c>
      <c r="BR70" t="str">
        <f>""</f>
        <v/>
      </c>
      <c r="BS70" t="str">
        <f>""</f>
        <v/>
      </c>
      <c r="BT70" t="str">
        <f>""</f>
        <v/>
      </c>
      <c r="BU70" t="str">
        <f>""</f>
        <v/>
      </c>
      <c r="BV70" t="str">
        <f>""</f>
        <v/>
      </c>
      <c r="BW70" t="str">
        <f>""</f>
        <v/>
      </c>
      <c r="BX70" t="str">
        <f>""</f>
        <v/>
      </c>
      <c r="BY70" t="str">
        <f>""</f>
        <v/>
      </c>
      <c r="BZ70" t="str">
        <f>""</f>
        <v/>
      </c>
      <c r="CA70" t="str">
        <f>""</f>
        <v/>
      </c>
      <c r="CB70" t="str">
        <f>""</f>
        <v/>
      </c>
      <c r="CC70" t="str">
        <f>""</f>
        <v/>
      </c>
      <c r="CD70" t="str">
        <f>""</f>
        <v/>
      </c>
      <c r="CE70" t="str">
        <f>""</f>
        <v/>
      </c>
      <c r="CF70" t="str">
        <f>""</f>
        <v/>
      </c>
      <c r="CG70" t="str">
        <f>""</f>
        <v/>
      </c>
      <c r="CH70" t="str">
        <f>""</f>
        <v/>
      </c>
      <c r="CI70" t="str">
        <f>""</f>
        <v/>
      </c>
      <c r="CJ70" t="str">
        <f>""</f>
        <v/>
      </c>
      <c r="CK70" t="str">
        <f>""</f>
        <v/>
      </c>
      <c r="CL70" t="str">
        <f>""</f>
        <v/>
      </c>
      <c r="CM70" t="str">
        <f>""</f>
        <v/>
      </c>
      <c r="CN70" t="str">
        <f>""</f>
        <v/>
      </c>
      <c r="CO70" t="str">
        <f>""</f>
        <v/>
      </c>
      <c r="CP70" t="str">
        <f>""</f>
        <v/>
      </c>
      <c r="CQ70" t="str">
        <f>""</f>
        <v/>
      </c>
      <c r="CR70" t="str">
        <f>""</f>
        <v/>
      </c>
      <c r="CS70" t="str">
        <f>""</f>
        <v/>
      </c>
      <c r="CT70" t="str">
        <f>""</f>
        <v/>
      </c>
      <c r="CU70" t="str">
        <f>""</f>
        <v/>
      </c>
      <c r="CV70" t="str">
        <f>""</f>
        <v/>
      </c>
      <c r="CW70" t="str">
        <f>""</f>
        <v/>
      </c>
      <c r="CX70" t="str">
        <f>""</f>
        <v/>
      </c>
      <c r="CY70" t="str">
        <f>""</f>
        <v/>
      </c>
      <c r="CZ70" t="str">
        <f>""</f>
        <v/>
      </c>
      <c r="DA70" t="str">
        <f>""</f>
        <v/>
      </c>
      <c r="DB70" t="str">
        <f>""</f>
        <v/>
      </c>
      <c r="DC70" t="str">
        <f>""</f>
        <v/>
      </c>
      <c r="DD70" t="str">
        <f>""</f>
        <v/>
      </c>
      <c r="DE70" t="str">
        <f>""</f>
        <v/>
      </c>
      <c r="DF70" t="str">
        <f>""</f>
        <v/>
      </c>
      <c r="DG70" t="str">
        <f>""</f>
        <v/>
      </c>
      <c r="DH70" t="str">
        <f>""</f>
        <v/>
      </c>
      <c r="DI70" t="str">
        <f>""</f>
        <v/>
      </c>
      <c r="DJ70" t="str">
        <f>""</f>
        <v/>
      </c>
      <c r="DK70" t="str">
        <f>""</f>
        <v/>
      </c>
      <c r="DL70" t="str">
        <f>""</f>
        <v/>
      </c>
      <c r="DM70" t="str">
        <f>""</f>
        <v/>
      </c>
      <c r="DN70" t="str">
        <f>""</f>
        <v/>
      </c>
      <c r="DO70" t="str">
        <f>""</f>
        <v/>
      </c>
      <c r="DP70" t="str">
        <f>""</f>
        <v/>
      </c>
      <c r="DQ70" t="str">
        <f>""</f>
        <v/>
      </c>
      <c r="DR70" t="str">
        <f>""</f>
        <v/>
      </c>
      <c r="DS70" t="str">
        <f>""</f>
        <v/>
      </c>
      <c r="DT70" t="str">
        <f>""</f>
        <v/>
      </c>
      <c r="DU70" t="str">
        <f>""</f>
        <v/>
      </c>
    </row>
    <row r="71" spans="1:125" x14ac:dyDescent="0.25">
      <c r="A71" t="str">
        <f>"BDH dynamic result2"</f>
        <v>BDH dynamic result2</v>
      </c>
      <c r="BN71" t="str">
        <f>""</f>
        <v/>
      </c>
      <c r="BO71" t="str">
        <f>""</f>
        <v/>
      </c>
      <c r="BP71" t="str">
        <f>""</f>
        <v/>
      </c>
      <c r="BQ71" t="str">
        <f>""</f>
        <v/>
      </c>
      <c r="BR71" t="str">
        <f>""</f>
        <v/>
      </c>
      <c r="BS71" t="str">
        <f>""</f>
        <v/>
      </c>
      <c r="BT71" t="str">
        <f>""</f>
        <v/>
      </c>
      <c r="BU71" t="str">
        <f>""</f>
        <v/>
      </c>
      <c r="BV71" t="str">
        <f>""</f>
        <v/>
      </c>
      <c r="BW71" t="str">
        <f>""</f>
        <v/>
      </c>
      <c r="BX71" t="str">
        <f>""</f>
        <v/>
      </c>
      <c r="BY71" t="str">
        <f>""</f>
        <v/>
      </c>
      <c r="BZ71" t="str">
        <f>""</f>
        <v/>
      </c>
      <c r="CA71" t="str">
        <f>""</f>
        <v/>
      </c>
      <c r="CB71" t="str">
        <f>""</f>
        <v/>
      </c>
      <c r="CC71" t="str">
        <f>""</f>
        <v/>
      </c>
      <c r="CD71" t="str">
        <f>""</f>
        <v/>
      </c>
      <c r="CE71" t="str">
        <f>""</f>
        <v/>
      </c>
      <c r="CF71" t="str">
        <f>""</f>
        <v/>
      </c>
      <c r="CG71" t="str">
        <f>""</f>
        <v/>
      </c>
      <c r="CH71" t="str">
        <f>""</f>
        <v/>
      </c>
      <c r="CI71" t="str">
        <f>""</f>
        <v/>
      </c>
      <c r="CJ71" t="str">
        <f>""</f>
        <v/>
      </c>
      <c r="CK71" t="str">
        <f>""</f>
        <v/>
      </c>
      <c r="CL71" t="str">
        <f>""</f>
        <v/>
      </c>
      <c r="CM71" t="str">
        <f>""</f>
        <v/>
      </c>
      <c r="CN71" t="str">
        <f>""</f>
        <v/>
      </c>
      <c r="CO71" t="str">
        <f>""</f>
        <v/>
      </c>
      <c r="CP71" t="str">
        <f>""</f>
        <v/>
      </c>
      <c r="CQ71" t="str">
        <f>""</f>
        <v/>
      </c>
      <c r="CR71" t="str">
        <f>""</f>
        <v/>
      </c>
      <c r="CS71" t="str">
        <f>""</f>
        <v/>
      </c>
      <c r="CT71" t="str">
        <f>""</f>
        <v/>
      </c>
      <c r="CU71" t="str">
        <f>""</f>
        <v/>
      </c>
      <c r="CV71" t="str">
        <f>""</f>
        <v/>
      </c>
      <c r="CW71" t="str">
        <f>""</f>
        <v/>
      </c>
      <c r="CX71" t="str">
        <f>""</f>
        <v/>
      </c>
      <c r="CY71" t="str">
        <f>""</f>
        <v/>
      </c>
      <c r="CZ71" t="str">
        <f>""</f>
        <v/>
      </c>
      <c r="DA71" t="str">
        <f>""</f>
        <v/>
      </c>
      <c r="DB71" t="str">
        <f>""</f>
        <v/>
      </c>
      <c r="DC71" t="str">
        <f>""</f>
        <v/>
      </c>
      <c r="DD71" t="str">
        <f>""</f>
        <v/>
      </c>
      <c r="DE71" t="str">
        <f>""</f>
        <v/>
      </c>
      <c r="DF71" t="str">
        <f>""</f>
        <v/>
      </c>
      <c r="DG71" t="str">
        <f>""</f>
        <v/>
      </c>
      <c r="DH71" t="str">
        <f>""</f>
        <v/>
      </c>
      <c r="DI71" t="str">
        <f>""</f>
        <v/>
      </c>
      <c r="DJ71" t="str">
        <f>""</f>
        <v/>
      </c>
      <c r="DK71" t="str">
        <f>""</f>
        <v/>
      </c>
      <c r="DL71" t="str">
        <f>""</f>
        <v/>
      </c>
      <c r="DM71" t="str">
        <f>""</f>
        <v/>
      </c>
      <c r="DN71" t="str">
        <f>""</f>
        <v/>
      </c>
      <c r="DO71" t="str">
        <f>""</f>
        <v/>
      </c>
      <c r="DP71" t="str">
        <f>""</f>
        <v/>
      </c>
      <c r="DQ71" t="str">
        <f>""</f>
        <v/>
      </c>
      <c r="DR71" t="str">
        <f>""</f>
        <v/>
      </c>
      <c r="DS71" t="str">
        <f>""</f>
        <v/>
      </c>
      <c r="DT71" t="str">
        <f>""</f>
        <v/>
      </c>
      <c r="DU71" t="str">
        <f>""</f>
        <v/>
      </c>
    </row>
    <row r="72" spans="1:125" x14ac:dyDescent="0.25">
      <c r="A72" t="str">
        <f>"BDH dynamic"</f>
        <v>BDH dynamic</v>
      </c>
      <c r="B72">
        <f ca="1">IF($B$66&gt;=1,$B$66,IF($B$68&gt;=1,$B$68,IF($B$70&gt;=1,$B$70,$B$57)))</f>
        <v>2</v>
      </c>
      <c r="C72" t="str">
        <f ca="1">IF($B$66&gt;=1,$C$66,IF($B$68&gt;=1,$C$68,IF($B$70&gt;=1,$C$70,$C$57)))</f>
        <v>2025 Q2</v>
      </c>
      <c r="D72" t="str">
        <f ca="1">IF($B$66&gt;=1,$D$66,IF($B$68&gt;=1,$D$68,IF($B$70&gt;=1,$D$70,$D$57)))</f>
        <v>2025 Q1</v>
      </c>
      <c r="E72" t="str">
        <f ca="1">IF($B$66&gt;=1,$E$66,IF($B$68&gt;=1,$E$68,IF($B$70&gt;=1,$E$70,$E$57)))</f>
        <v>2024 Q4</v>
      </c>
      <c r="F72" t="str">
        <f ca="1">IF($B$66&gt;=1,$F$66,IF($B$68&gt;=1,$F$68,IF($B$70&gt;=1,$F$70,$F$57)))</f>
        <v>2024 Q3</v>
      </c>
      <c r="G72" t="str">
        <f ca="1">IF($B$66&gt;=1,$G$66,IF($B$68&gt;=1,$G$68,IF($B$70&gt;=1,$G$70,$G$57)))</f>
        <v>2024 Q2</v>
      </c>
      <c r="H72" t="str">
        <f ca="1">IF($B$66&gt;=1,$H$66,IF($B$68&gt;=1,$H$68,IF($B$70&gt;=1,$H$70,$H$57)))</f>
        <v>2024 Q1</v>
      </c>
      <c r="I72" t="str">
        <f ca="1">IF($B$66&gt;=1,$I$66,IF($B$68&gt;=1,$I$68,IF($B$70&gt;=1,$I$70,$I$57)))</f>
        <v>2023 Q4</v>
      </c>
      <c r="J72" t="str">
        <f ca="1">IF($B$66&gt;=1,$J$66,IF($B$68&gt;=1,$J$68,IF($B$70&gt;=1,$J$70,$J$57)))</f>
        <v>2023 Q3</v>
      </c>
      <c r="K72" t="str">
        <f ca="1">IF($B$66&gt;=1,$K$66,IF($B$68&gt;=1,$K$68,IF($B$70&gt;=1,$K$70,$K$57)))</f>
        <v>2023 Q2</v>
      </c>
      <c r="L72" t="str">
        <f ca="1">IF($B$66&gt;=1,$L$66,IF($B$68&gt;=1,$L$68,IF($B$70&gt;=1,$L$70,$L$57)))</f>
        <v>2023 Q1</v>
      </c>
      <c r="M72" t="str">
        <f ca="1">IF($B$66&gt;=1,$M$66,IF($B$68&gt;=1,$M$68,IF($B$70&gt;=1,$M$70,$M$57)))</f>
        <v>2022 Q4</v>
      </c>
      <c r="N72" t="str">
        <f ca="1">IF($B$66&gt;=1,$N$66,IF($B$68&gt;=1,$N$68,IF($B$70&gt;=1,$N$70,$N$57)))</f>
        <v>2022 Q3</v>
      </c>
      <c r="O72" t="str">
        <f ca="1">IF($B$66&gt;=1,$O$66,IF($B$68&gt;=1,$O$68,IF($B$70&gt;=1,$O$70,$O$57)))</f>
        <v>2022 Q2</v>
      </c>
      <c r="P72" t="str">
        <f ca="1">IF($B$66&gt;=1,$P$66,IF($B$68&gt;=1,$P$68,IF($B$70&gt;=1,$P$70,$P$57)))</f>
        <v>2022 Q1</v>
      </c>
      <c r="Q72" t="str">
        <f ca="1">IF($B$66&gt;=1,$Q$66,IF($B$68&gt;=1,$Q$68,IF($B$70&gt;=1,$Q$70,$Q$57)))</f>
        <v>2021 Q4</v>
      </c>
      <c r="R72" t="str">
        <f ca="1">IF($B$66&gt;=1,$R$66,IF($B$68&gt;=1,$R$68,IF($B$70&gt;=1,$R$70,$R$57)))</f>
        <v>2021 Q3</v>
      </c>
      <c r="S72" t="str">
        <f ca="1">IF($B$66&gt;=1,$S$66,IF($B$68&gt;=1,$S$68,IF($B$70&gt;=1,$S$70,$S$57)))</f>
        <v>2021 Q2</v>
      </c>
      <c r="T72" t="str">
        <f ca="1">IF($B$66&gt;=1,$T$66,IF($B$68&gt;=1,$T$68,IF($B$70&gt;=1,$T$70,$T$57)))</f>
        <v>2021 Q1</v>
      </c>
      <c r="U72" t="str">
        <f ca="1">IF($B$66&gt;=1,$U$66,IF($B$68&gt;=1,$U$68,IF($B$70&gt;=1,$U$70,$U$57)))</f>
        <v>2020 Q4</v>
      </c>
      <c r="V72" t="str">
        <f ca="1">IF($B$66&gt;=1,$V$66,IF($B$68&gt;=1,$V$68,IF($B$70&gt;=1,$V$70,$V$57)))</f>
        <v>2020 Q3</v>
      </c>
      <c r="W72" t="str">
        <f ca="1">IF($B$66&gt;=1,$W$66,IF($B$68&gt;=1,$W$68,IF($B$70&gt;=1,$W$70,$W$57)))</f>
        <v>2020 Q2</v>
      </c>
      <c r="X72" t="str">
        <f ca="1">IF($B$66&gt;=1,$X$66,IF($B$68&gt;=1,$X$68,IF($B$70&gt;=1,$X$70,$X$57)))</f>
        <v>2020 Q1</v>
      </c>
      <c r="Y72" t="str">
        <f ca="1">IF($B$66&gt;=1,$Y$66,IF($B$68&gt;=1,$Y$68,IF($B$70&gt;=1,$Y$70,$Y$57)))</f>
        <v>2019 Q4</v>
      </c>
      <c r="Z72" t="str">
        <f ca="1">IF($B$66&gt;=1,$Z$66,IF($B$68&gt;=1,$Z$68,IF($B$70&gt;=1,$Z$70,$Z$57)))</f>
        <v>2019 Q3</v>
      </c>
      <c r="AA72" t="str">
        <f ca="1">IF($B$66&gt;=1,$AA$66,IF($B$68&gt;=1,$AA$68,IF($B$70&gt;=1,$AA$70,$AA$57)))</f>
        <v>2019 Q2</v>
      </c>
      <c r="AB72" t="str">
        <f ca="1">IF($B$66&gt;=1,$AB$66,IF($B$68&gt;=1,$AB$68,IF($B$70&gt;=1,$AB$70,$AB$57)))</f>
        <v>2019 Q1</v>
      </c>
      <c r="AC72" t="str">
        <f ca="1">IF($B$66&gt;=1,$AC$66,IF($B$68&gt;=1,$AC$68,IF($B$70&gt;=1,$AC$70,$AC$57)))</f>
        <v>2018 Q4</v>
      </c>
      <c r="AD72" t="str">
        <f ca="1">IF($B$66&gt;=1,$AD$66,IF($B$68&gt;=1,$AD$68,IF($B$70&gt;=1,$AD$70,$AD$57)))</f>
        <v>2018 Q3</v>
      </c>
      <c r="AE72" t="str">
        <f ca="1">IF($B$66&gt;=1,$AE$66,IF($B$68&gt;=1,$AE$68,IF($B$70&gt;=1,$AE$70,$AE$57)))</f>
        <v>2018 Q2</v>
      </c>
      <c r="AF72" t="str">
        <f ca="1">IF($B$66&gt;=1,$AF$66,IF($B$68&gt;=1,$AF$68,IF($B$70&gt;=1,$AF$70,$AF$57)))</f>
        <v>2018 Q1</v>
      </c>
      <c r="AG72" t="str">
        <f ca="1">IF($B$66&gt;=1,$AG$66,IF($B$68&gt;=1,$AG$68,IF($B$70&gt;=1,$AG$70,$AG$57)))</f>
        <v>2017 Q4</v>
      </c>
      <c r="AH72" t="str">
        <f ca="1">IF($B$66&gt;=1,$AH$66,IF($B$68&gt;=1,$AH$68,IF($B$70&gt;=1,$AH$70,$AH$57)))</f>
        <v>2017 Q3</v>
      </c>
      <c r="AI72" t="str">
        <f ca="1">IF($B$66&gt;=1,$AI$66,IF($B$68&gt;=1,$AI$68,IF($B$70&gt;=1,$AI$70,$AI$57)))</f>
        <v>2017 Q2</v>
      </c>
      <c r="AJ72" t="str">
        <f ca="1">IF($B$66&gt;=1,$AJ$66,IF($B$68&gt;=1,$AJ$68,IF($B$70&gt;=1,$AJ$70,$AJ$57)))</f>
        <v>2017 Q1</v>
      </c>
      <c r="AK72" t="str">
        <f ca="1">IF($B$66&gt;=1,$AK$66,IF($B$68&gt;=1,$AK$68,IF($B$70&gt;=1,$AK$70,$AK$57)))</f>
        <v>2016 Q4</v>
      </c>
      <c r="AL72" t="str">
        <f ca="1">IF($B$66&gt;=1,$AL$66,IF($B$68&gt;=1,$AL$68,IF($B$70&gt;=1,$AL$70,$AL$57)))</f>
        <v>2016 Q3</v>
      </c>
      <c r="AM72" t="str">
        <f ca="1">IF($B$66&gt;=1,$AM$66,IF($B$68&gt;=1,$AM$68,IF($B$70&gt;=1,$AM$70,$AM$57)))</f>
        <v>2016 Q2</v>
      </c>
      <c r="AN72" t="str">
        <f ca="1">IF($B$66&gt;=1,$AN$66,IF($B$68&gt;=1,$AN$68,IF($B$70&gt;=1,$AN$70,$AN$57)))</f>
        <v>2016 Q1</v>
      </c>
      <c r="AO72" t="str">
        <f ca="1">IF($B$66&gt;=1,$AO$66,IF($B$68&gt;=1,$AO$68,IF($B$70&gt;=1,$AO$70,$AO$57)))</f>
        <v>2015 Q4</v>
      </c>
      <c r="AP72" t="str">
        <f ca="1">IF($B$66&gt;=1,$AP$66,IF($B$68&gt;=1,$AP$68,IF($B$70&gt;=1,$AP$70,$AP$57)))</f>
        <v>2015 Q3</v>
      </c>
      <c r="AQ72" t="str">
        <f ca="1">IF($B$66&gt;=1,$AQ$66,IF($B$68&gt;=1,$AQ$68,IF($B$70&gt;=1,$AQ$70,$AQ$57)))</f>
        <v>2015 Q2</v>
      </c>
      <c r="AR72" t="str">
        <f ca="1">IF($B$66&gt;=1,$AR$66,IF($B$68&gt;=1,$AR$68,IF($B$70&gt;=1,$AR$70,$AR$57)))</f>
        <v>2015 Q1</v>
      </c>
      <c r="AS72" t="str">
        <f ca="1">IF($B$66&gt;=1,$AS$66,IF($B$68&gt;=1,$AS$68,IF($B$70&gt;=1,$AS$70,$AS$57)))</f>
        <v>2014 Q4</v>
      </c>
      <c r="AT72" t="str">
        <f ca="1">IF($B$66&gt;=1,$AT$66,IF($B$68&gt;=1,$AT$68,IF($B$70&gt;=1,$AT$70,$AT$57)))</f>
        <v>2014 Q3</v>
      </c>
      <c r="AU72" t="str">
        <f ca="1">IF($B$66&gt;=1,$AU$66,IF($B$68&gt;=1,$AU$68,IF($B$70&gt;=1,$AU$70,$AU$57)))</f>
        <v>2014 Q2</v>
      </c>
      <c r="AV72" t="str">
        <f ca="1">IF($B$66&gt;=1,$AV$66,IF($B$68&gt;=1,$AV$68,IF($B$70&gt;=1,$AV$70,$AV$57)))</f>
        <v>2014 Q1</v>
      </c>
      <c r="AW72" t="str">
        <f ca="1">IF($B$66&gt;=1,$AW$66,IF($B$68&gt;=1,$AW$68,IF($B$70&gt;=1,$AW$70,$AW$57)))</f>
        <v>2013 Q4</v>
      </c>
      <c r="AX72" t="str">
        <f ca="1">IF($B$66&gt;=1,$AX$66,IF($B$68&gt;=1,$AX$68,IF($B$70&gt;=1,$AX$70,$AX$57)))</f>
        <v>2013 Q3</v>
      </c>
      <c r="AY72" t="str">
        <f ca="1">IF($B$66&gt;=1,$AY$66,IF($B$68&gt;=1,$AY$68,IF($B$70&gt;=1,$AY$70,$AY$57)))</f>
        <v>2013 Q2</v>
      </c>
      <c r="AZ72" t="str">
        <f ca="1">IF($B$66&gt;=1,$AZ$66,IF($B$68&gt;=1,$AZ$68,IF($B$70&gt;=1,$AZ$70,$AZ$57)))</f>
        <v>2013 Q1</v>
      </c>
      <c r="BA72" t="str">
        <f ca="1">IF($B$66&gt;=1,$BA$66,IF($B$68&gt;=1,$BA$68,IF($B$70&gt;=1,$BA$70,$BA$57)))</f>
        <v>2012 Q4</v>
      </c>
      <c r="BB72" t="str">
        <f ca="1">IF($B$66&gt;=1,$BB$66,IF($B$68&gt;=1,$BB$68,IF($B$70&gt;=1,$BB$70,$BB$57)))</f>
        <v>2012 Q3</v>
      </c>
      <c r="BC72" t="str">
        <f ca="1">IF($B$66&gt;=1,$BC$66,IF($B$68&gt;=1,$BC$68,IF($B$70&gt;=1,$BC$70,$BC$57)))</f>
        <v>2012 Q2</v>
      </c>
      <c r="BD72" t="str">
        <f ca="1">IF($B$66&gt;=1,$BD$66,IF($B$68&gt;=1,$BD$68,IF($B$70&gt;=1,$BD$70,$BD$57)))</f>
        <v>2012 Q1</v>
      </c>
      <c r="BE72" t="str">
        <f ca="1">IF($B$66&gt;=1,$BE$66,IF($B$68&gt;=1,$BE$68,IF($B$70&gt;=1,$BE$70,$BE$57)))</f>
        <v>2011 Q4</v>
      </c>
      <c r="BF72" t="str">
        <f ca="1">IF($B$66&gt;=1,$BF$66,IF($B$68&gt;=1,$BF$68,IF($B$70&gt;=1,$BF$70,$BF$57)))</f>
        <v>2011 Q3</v>
      </c>
      <c r="BG72" t="str">
        <f ca="1">IF($B$66&gt;=1,$BG$66,IF($B$68&gt;=1,$BG$68,IF($B$70&gt;=1,$BG$70,$BG$57)))</f>
        <v>2011 Q2</v>
      </c>
      <c r="BH72" t="str">
        <f ca="1">IF($B$66&gt;=1,$BH$66,IF($B$68&gt;=1,$BH$68,IF($B$70&gt;=1,$BH$70,$BH$57)))</f>
        <v>2011 Q1</v>
      </c>
      <c r="BI72" t="str">
        <f ca="1">IF($B$66&gt;=1,$BI$66,IF($B$68&gt;=1,$BI$68,IF($B$70&gt;=1,$BI$70,$BI$57)))</f>
        <v>2010 Q4</v>
      </c>
      <c r="BJ72" t="str">
        <f ca="1">IF($B$66&gt;=1,$BJ$66,IF($B$68&gt;=1,$BJ$68,IF($B$70&gt;=1,$BJ$70,$BJ$57)))</f>
        <v>2010 Q3</v>
      </c>
      <c r="BN72" t="str">
        <f>""</f>
        <v/>
      </c>
      <c r="BO72" t="str">
        <f>""</f>
        <v/>
      </c>
      <c r="BP72" t="str">
        <f>""</f>
        <v/>
      </c>
      <c r="BQ72" t="str">
        <f>""</f>
        <v/>
      </c>
      <c r="BR72" t="str">
        <f>""</f>
        <v/>
      </c>
      <c r="BS72" t="str">
        <f>""</f>
        <v/>
      </c>
      <c r="BT72" t="str">
        <f>""</f>
        <v/>
      </c>
      <c r="BU72" t="str">
        <f>""</f>
        <v/>
      </c>
      <c r="BV72" t="str">
        <f>""</f>
        <v/>
      </c>
      <c r="BW72" t="str">
        <f>""</f>
        <v/>
      </c>
      <c r="BX72" t="str">
        <f>""</f>
        <v/>
      </c>
      <c r="BY72" t="str">
        <f>""</f>
        <v/>
      </c>
      <c r="BZ72" t="str">
        <f>""</f>
        <v/>
      </c>
      <c r="CA72" t="str">
        <f>""</f>
        <v/>
      </c>
      <c r="CB72" t="str">
        <f>""</f>
        <v/>
      </c>
      <c r="CC72" t="str">
        <f>""</f>
        <v/>
      </c>
      <c r="CD72" t="str">
        <f>""</f>
        <v/>
      </c>
      <c r="CE72" t="str">
        <f>""</f>
        <v/>
      </c>
      <c r="CF72" t="str">
        <f>""</f>
        <v/>
      </c>
      <c r="CG72" t="str">
        <f>""</f>
        <v/>
      </c>
      <c r="CH72" t="str">
        <f>""</f>
        <v/>
      </c>
      <c r="CI72" t="str">
        <f>""</f>
        <v/>
      </c>
      <c r="CJ72" t="str">
        <f>""</f>
        <v/>
      </c>
      <c r="CK72" t="str">
        <f>""</f>
        <v/>
      </c>
      <c r="CL72" t="str">
        <f>""</f>
        <v/>
      </c>
      <c r="CM72" t="str">
        <f>""</f>
        <v/>
      </c>
      <c r="CN72" t="str">
        <f>""</f>
        <v/>
      </c>
      <c r="CO72" t="str">
        <f>""</f>
        <v/>
      </c>
      <c r="CP72" t="str">
        <f>""</f>
        <v/>
      </c>
      <c r="CQ72" t="str">
        <f>""</f>
        <v/>
      </c>
      <c r="CR72" t="str">
        <f>""</f>
        <v/>
      </c>
      <c r="CS72" t="str">
        <f>""</f>
        <v/>
      </c>
      <c r="CT72" t="str">
        <f>""</f>
        <v/>
      </c>
      <c r="CU72" t="str">
        <f>""</f>
        <v/>
      </c>
      <c r="CV72" t="str">
        <f>""</f>
        <v/>
      </c>
      <c r="CW72" t="str">
        <f>""</f>
        <v/>
      </c>
      <c r="CX72" t="str">
        <f>""</f>
        <v/>
      </c>
      <c r="CY72" t="str">
        <f>""</f>
        <v/>
      </c>
      <c r="CZ72" t="str">
        <f>""</f>
        <v/>
      </c>
      <c r="DA72" t="str">
        <f>""</f>
        <v/>
      </c>
      <c r="DB72" t="str">
        <f>""</f>
        <v/>
      </c>
      <c r="DC72" t="str">
        <f>""</f>
        <v/>
      </c>
      <c r="DD72" t="str">
        <f>""</f>
        <v/>
      </c>
      <c r="DE72" t="str">
        <f>""</f>
        <v/>
      </c>
      <c r="DF72" t="str">
        <f>""</f>
        <v/>
      </c>
      <c r="DG72" t="str">
        <f>""</f>
        <v/>
      </c>
      <c r="DH72" t="str">
        <f>""</f>
        <v/>
      </c>
      <c r="DI72" t="str">
        <f>""</f>
        <v/>
      </c>
      <c r="DJ72" t="str">
        <f>""</f>
        <v/>
      </c>
      <c r="DK72" t="str">
        <f>""</f>
        <v/>
      </c>
      <c r="DL72" t="str">
        <f>""</f>
        <v/>
      </c>
      <c r="DM72" t="str">
        <f>""</f>
        <v/>
      </c>
      <c r="DN72" t="str">
        <f>""</f>
        <v/>
      </c>
      <c r="DO72" t="str">
        <f>""</f>
        <v/>
      </c>
      <c r="DP72" t="str">
        <f>""</f>
        <v/>
      </c>
      <c r="DQ72" t="str">
        <f>""</f>
        <v/>
      </c>
      <c r="DR72" t="str">
        <f>""</f>
        <v/>
      </c>
      <c r="DS72" t="str">
        <f>""</f>
        <v/>
      </c>
      <c r="DT72" t="str">
        <f>""</f>
        <v/>
      </c>
      <c r="DU72" t="str">
        <f>""</f>
        <v/>
      </c>
    </row>
    <row r="73" spans="1:125" x14ac:dyDescent="0.25">
      <c r="A73" t="str">
        <f>"BDH dynamic title"</f>
        <v>BDH dynamic title</v>
      </c>
      <c r="B73">
        <f ca="1">$B$72</f>
        <v>2</v>
      </c>
      <c r="C73" t="str">
        <f ca="1">IF(LEN($C$72)&lt;&gt;8,$C$72,RIGHT($C$72,4)&amp;" "&amp;MID($C$72,3,1)&amp;LEFT($C$72,1))</f>
        <v>2025 Q2</v>
      </c>
      <c r="D73" t="str">
        <f ca="1">IF(LEN($D$72)&lt;&gt;8,$D$72,RIGHT($D$72,4)&amp;" "&amp;MID($D$72,3,1)&amp;LEFT($D$72,1))</f>
        <v>2025 Q1</v>
      </c>
      <c r="E73" t="str">
        <f ca="1">IF(LEN($E$72)&lt;&gt;8,$E$72,RIGHT($E$72,4)&amp;" "&amp;MID($E$72,3,1)&amp;LEFT($E$72,1))</f>
        <v>2024 Q4</v>
      </c>
      <c r="F73" t="str">
        <f ca="1">IF(LEN($F$72)&lt;&gt;8,$F$72,RIGHT($F$72,4)&amp;" "&amp;MID($F$72,3,1)&amp;LEFT($F$72,1))</f>
        <v>2024 Q3</v>
      </c>
      <c r="G73" t="str">
        <f ca="1">IF(LEN($G$72)&lt;&gt;8,$G$72,RIGHT($G$72,4)&amp;" "&amp;MID($G$72,3,1)&amp;LEFT($G$72,1))</f>
        <v>2024 Q2</v>
      </c>
      <c r="H73" t="str">
        <f ca="1">IF(LEN($H$72)&lt;&gt;8,$H$72,RIGHT($H$72,4)&amp;" "&amp;MID($H$72,3,1)&amp;LEFT($H$72,1))</f>
        <v>2024 Q1</v>
      </c>
      <c r="I73" t="str">
        <f ca="1">IF(LEN($I$72)&lt;&gt;8,$I$72,RIGHT($I$72,4)&amp;" "&amp;MID($I$72,3,1)&amp;LEFT($I$72,1))</f>
        <v>2023 Q4</v>
      </c>
      <c r="J73" t="str">
        <f ca="1">IF(LEN($J$72)&lt;&gt;8,$J$72,RIGHT($J$72,4)&amp;" "&amp;MID($J$72,3,1)&amp;LEFT($J$72,1))</f>
        <v>2023 Q3</v>
      </c>
      <c r="K73" t="str">
        <f ca="1">IF(LEN($K$72)&lt;&gt;8,$K$72,RIGHT($K$72,4)&amp;" "&amp;MID($K$72,3,1)&amp;LEFT($K$72,1))</f>
        <v>2023 Q2</v>
      </c>
      <c r="L73" t="str">
        <f ca="1">IF(LEN($L$72)&lt;&gt;8,$L$72,RIGHT($L$72,4)&amp;" "&amp;MID($L$72,3,1)&amp;LEFT($L$72,1))</f>
        <v>2023 Q1</v>
      </c>
      <c r="M73" t="str">
        <f ca="1">IF(LEN($M$72)&lt;&gt;8,$M$72,RIGHT($M$72,4)&amp;" "&amp;MID($M$72,3,1)&amp;LEFT($M$72,1))</f>
        <v>2022 Q4</v>
      </c>
      <c r="N73" t="str">
        <f ca="1">IF(LEN($N$72)&lt;&gt;8,$N$72,RIGHT($N$72,4)&amp;" "&amp;MID($N$72,3,1)&amp;LEFT($N$72,1))</f>
        <v>2022 Q3</v>
      </c>
      <c r="O73" t="str">
        <f ca="1">IF(LEN($O$72)&lt;&gt;8,$O$72,RIGHT($O$72,4)&amp;" "&amp;MID($O$72,3,1)&amp;LEFT($O$72,1))</f>
        <v>2022 Q2</v>
      </c>
      <c r="P73" t="str">
        <f ca="1">IF(LEN($P$72)&lt;&gt;8,$P$72,RIGHT($P$72,4)&amp;" "&amp;MID($P$72,3,1)&amp;LEFT($P$72,1))</f>
        <v>2022 Q1</v>
      </c>
      <c r="Q73" t="str">
        <f ca="1">IF(LEN($Q$72)&lt;&gt;8,$Q$72,RIGHT($Q$72,4)&amp;" "&amp;MID($Q$72,3,1)&amp;LEFT($Q$72,1))</f>
        <v>2021 Q4</v>
      </c>
      <c r="R73" t="str">
        <f ca="1">IF(LEN($R$72)&lt;&gt;8,$R$72,RIGHT($R$72,4)&amp;" "&amp;MID($R$72,3,1)&amp;LEFT($R$72,1))</f>
        <v>2021 Q3</v>
      </c>
      <c r="S73" t="str">
        <f ca="1">IF(LEN($S$72)&lt;&gt;8,$S$72,RIGHT($S$72,4)&amp;" "&amp;MID($S$72,3,1)&amp;LEFT($S$72,1))</f>
        <v>2021 Q2</v>
      </c>
      <c r="T73" t="str">
        <f ca="1">IF(LEN($T$72)&lt;&gt;8,$T$72,RIGHT($T$72,4)&amp;" "&amp;MID($T$72,3,1)&amp;LEFT($T$72,1))</f>
        <v>2021 Q1</v>
      </c>
      <c r="U73" t="str">
        <f ca="1">IF(LEN($U$72)&lt;&gt;8,$U$72,RIGHT($U$72,4)&amp;" "&amp;MID($U$72,3,1)&amp;LEFT($U$72,1))</f>
        <v>2020 Q4</v>
      </c>
      <c r="V73" t="str">
        <f ca="1">IF(LEN($V$72)&lt;&gt;8,$V$72,RIGHT($V$72,4)&amp;" "&amp;MID($V$72,3,1)&amp;LEFT($V$72,1))</f>
        <v>2020 Q3</v>
      </c>
      <c r="W73" t="str">
        <f ca="1">IF(LEN($W$72)&lt;&gt;8,$W$72,RIGHT($W$72,4)&amp;" "&amp;MID($W$72,3,1)&amp;LEFT($W$72,1))</f>
        <v>2020 Q2</v>
      </c>
      <c r="X73" t="str">
        <f ca="1">IF(LEN($X$72)&lt;&gt;8,$X$72,RIGHT($X$72,4)&amp;" "&amp;MID($X$72,3,1)&amp;LEFT($X$72,1))</f>
        <v>2020 Q1</v>
      </c>
      <c r="Y73" t="str">
        <f ca="1">IF(LEN($Y$72)&lt;&gt;8,$Y$72,RIGHT($Y$72,4)&amp;" "&amp;MID($Y$72,3,1)&amp;LEFT($Y$72,1))</f>
        <v>2019 Q4</v>
      </c>
      <c r="Z73" t="str">
        <f ca="1">IF(LEN($Z$72)&lt;&gt;8,$Z$72,RIGHT($Z$72,4)&amp;" "&amp;MID($Z$72,3,1)&amp;LEFT($Z$72,1))</f>
        <v>2019 Q3</v>
      </c>
      <c r="AA73" t="str">
        <f ca="1">IF(LEN($AA$72)&lt;&gt;8,$AA$72,RIGHT($AA$72,4)&amp;" "&amp;MID($AA$72,3,1)&amp;LEFT($AA$72,1))</f>
        <v>2019 Q2</v>
      </c>
      <c r="AB73" t="str">
        <f ca="1">IF(LEN($AB$72)&lt;&gt;8,$AB$72,RIGHT($AB$72,4)&amp;" "&amp;MID($AB$72,3,1)&amp;LEFT($AB$72,1))</f>
        <v>2019 Q1</v>
      </c>
      <c r="AC73" t="str">
        <f ca="1">IF(LEN($AC$72)&lt;&gt;8,$AC$72,RIGHT($AC$72,4)&amp;" "&amp;MID($AC$72,3,1)&amp;LEFT($AC$72,1))</f>
        <v>2018 Q4</v>
      </c>
      <c r="AD73" t="str">
        <f ca="1">IF(LEN($AD$72)&lt;&gt;8,$AD$72,RIGHT($AD$72,4)&amp;" "&amp;MID($AD$72,3,1)&amp;LEFT($AD$72,1))</f>
        <v>2018 Q3</v>
      </c>
      <c r="AE73" t="str">
        <f ca="1">IF(LEN($AE$72)&lt;&gt;8,$AE$72,RIGHT($AE$72,4)&amp;" "&amp;MID($AE$72,3,1)&amp;LEFT($AE$72,1))</f>
        <v>2018 Q2</v>
      </c>
      <c r="AF73" t="str">
        <f ca="1">IF(LEN($AF$72)&lt;&gt;8,$AF$72,RIGHT($AF$72,4)&amp;" "&amp;MID($AF$72,3,1)&amp;LEFT($AF$72,1))</f>
        <v>2018 Q1</v>
      </c>
      <c r="AG73" t="str">
        <f ca="1">IF(LEN($AG$72)&lt;&gt;8,$AG$72,RIGHT($AG$72,4)&amp;" "&amp;MID($AG$72,3,1)&amp;LEFT($AG$72,1))</f>
        <v>2017 Q4</v>
      </c>
      <c r="AH73" t="str">
        <f ca="1">IF(LEN($AH$72)&lt;&gt;8,$AH$72,RIGHT($AH$72,4)&amp;" "&amp;MID($AH$72,3,1)&amp;LEFT($AH$72,1))</f>
        <v>2017 Q3</v>
      </c>
      <c r="AI73" t="str">
        <f ca="1">IF(LEN($AI$72)&lt;&gt;8,$AI$72,RIGHT($AI$72,4)&amp;" "&amp;MID($AI$72,3,1)&amp;LEFT($AI$72,1))</f>
        <v>2017 Q2</v>
      </c>
      <c r="AJ73" t="str">
        <f ca="1">IF(LEN($AJ$72)&lt;&gt;8,$AJ$72,RIGHT($AJ$72,4)&amp;" "&amp;MID($AJ$72,3,1)&amp;LEFT($AJ$72,1))</f>
        <v>2017 Q1</v>
      </c>
      <c r="AK73" t="str">
        <f ca="1">IF(LEN($AK$72)&lt;&gt;8,$AK$72,RIGHT($AK$72,4)&amp;" "&amp;MID($AK$72,3,1)&amp;LEFT($AK$72,1))</f>
        <v>2016 Q4</v>
      </c>
      <c r="AL73" t="str">
        <f ca="1">IF(LEN($AL$72)&lt;&gt;8,$AL$72,RIGHT($AL$72,4)&amp;" "&amp;MID($AL$72,3,1)&amp;LEFT($AL$72,1))</f>
        <v>2016 Q3</v>
      </c>
      <c r="AM73" t="str">
        <f ca="1">IF(LEN($AM$72)&lt;&gt;8,$AM$72,RIGHT($AM$72,4)&amp;" "&amp;MID($AM$72,3,1)&amp;LEFT($AM$72,1))</f>
        <v>2016 Q2</v>
      </c>
      <c r="AN73" t="str">
        <f ca="1">IF(LEN($AN$72)&lt;&gt;8,$AN$72,RIGHT($AN$72,4)&amp;" "&amp;MID($AN$72,3,1)&amp;LEFT($AN$72,1))</f>
        <v>2016 Q1</v>
      </c>
      <c r="AO73" t="str">
        <f ca="1">IF(LEN($AO$72)&lt;&gt;8,$AO$72,RIGHT($AO$72,4)&amp;" "&amp;MID($AO$72,3,1)&amp;LEFT($AO$72,1))</f>
        <v>2015 Q4</v>
      </c>
      <c r="AP73" t="str">
        <f ca="1">IF(LEN($AP$72)&lt;&gt;8,$AP$72,RIGHT($AP$72,4)&amp;" "&amp;MID($AP$72,3,1)&amp;LEFT($AP$72,1))</f>
        <v>2015 Q3</v>
      </c>
      <c r="AQ73" t="str">
        <f ca="1">IF(LEN($AQ$72)&lt;&gt;8,$AQ$72,RIGHT($AQ$72,4)&amp;" "&amp;MID($AQ$72,3,1)&amp;LEFT($AQ$72,1))</f>
        <v>2015 Q2</v>
      </c>
      <c r="AR73" t="str">
        <f ca="1">IF(LEN($AR$72)&lt;&gt;8,$AR$72,RIGHT($AR$72,4)&amp;" "&amp;MID($AR$72,3,1)&amp;LEFT($AR$72,1))</f>
        <v>2015 Q1</v>
      </c>
      <c r="AS73" t="str">
        <f ca="1">IF(LEN($AS$72)&lt;&gt;8,$AS$72,RIGHT($AS$72,4)&amp;" "&amp;MID($AS$72,3,1)&amp;LEFT($AS$72,1))</f>
        <v>2014 Q4</v>
      </c>
      <c r="AT73" t="str">
        <f ca="1">IF(LEN($AT$72)&lt;&gt;8,$AT$72,RIGHT($AT$72,4)&amp;" "&amp;MID($AT$72,3,1)&amp;LEFT($AT$72,1))</f>
        <v>2014 Q3</v>
      </c>
      <c r="AU73" t="str">
        <f ca="1">IF(LEN($AU$72)&lt;&gt;8,$AU$72,RIGHT($AU$72,4)&amp;" "&amp;MID($AU$72,3,1)&amp;LEFT($AU$72,1))</f>
        <v>2014 Q2</v>
      </c>
      <c r="AV73" t="str">
        <f ca="1">IF(LEN($AV$72)&lt;&gt;8,$AV$72,RIGHT($AV$72,4)&amp;" "&amp;MID($AV$72,3,1)&amp;LEFT($AV$72,1))</f>
        <v>2014 Q1</v>
      </c>
      <c r="AW73" t="str">
        <f ca="1">IF(LEN($AW$72)&lt;&gt;8,$AW$72,RIGHT($AW$72,4)&amp;" "&amp;MID($AW$72,3,1)&amp;LEFT($AW$72,1))</f>
        <v>2013 Q4</v>
      </c>
      <c r="AX73" t="str">
        <f ca="1">IF(LEN($AX$72)&lt;&gt;8,$AX$72,RIGHT($AX$72,4)&amp;" "&amp;MID($AX$72,3,1)&amp;LEFT($AX$72,1))</f>
        <v>2013 Q3</v>
      </c>
      <c r="AY73" t="str">
        <f ca="1">IF(LEN($AY$72)&lt;&gt;8,$AY$72,RIGHT($AY$72,4)&amp;" "&amp;MID($AY$72,3,1)&amp;LEFT($AY$72,1))</f>
        <v>2013 Q2</v>
      </c>
      <c r="AZ73" t="str">
        <f ca="1">IF(LEN($AZ$72)&lt;&gt;8,$AZ$72,RIGHT($AZ$72,4)&amp;" "&amp;MID($AZ$72,3,1)&amp;LEFT($AZ$72,1))</f>
        <v>2013 Q1</v>
      </c>
      <c r="BA73" t="str">
        <f ca="1">IF(LEN($BA$72)&lt;&gt;8,$BA$72,RIGHT($BA$72,4)&amp;" "&amp;MID($BA$72,3,1)&amp;LEFT($BA$72,1))</f>
        <v>2012 Q4</v>
      </c>
      <c r="BB73" t="str">
        <f ca="1">IF(LEN($BB$72)&lt;&gt;8,$BB$72,RIGHT($BB$72,4)&amp;" "&amp;MID($BB$72,3,1)&amp;LEFT($BB$72,1))</f>
        <v>2012 Q3</v>
      </c>
      <c r="BC73" t="str">
        <f ca="1">IF(LEN($BC$72)&lt;&gt;8,$BC$72,RIGHT($BC$72,4)&amp;" "&amp;MID($BC$72,3,1)&amp;LEFT($BC$72,1))</f>
        <v>2012 Q2</v>
      </c>
      <c r="BD73" t="str">
        <f ca="1">IF(LEN($BD$72)&lt;&gt;8,$BD$72,RIGHT($BD$72,4)&amp;" "&amp;MID($BD$72,3,1)&amp;LEFT($BD$72,1))</f>
        <v>2012 Q1</v>
      </c>
      <c r="BE73" t="str">
        <f ca="1">IF(LEN($BE$72)&lt;&gt;8,$BE$72,RIGHT($BE$72,4)&amp;" "&amp;MID($BE$72,3,1)&amp;LEFT($BE$72,1))</f>
        <v>2011 Q4</v>
      </c>
      <c r="BF73" t="str">
        <f ca="1">IF(LEN($BF$72)&lt;&gt;8,$BF$72,RIGHT($BF$72,4)&amp;" "&amp;MID($BF$72,3,1)&amp;LEFT($BF$72,1))</f>
        <v>2011 Q3</v>
      </c>
      <c r="BG73" t="str">
        <f ca="1">IF(LEN($BG$72)&lt;&gt;8,$BG$72,RIGHT($BG$72,4)&amp;" "&amp;MID($BG$72,3,1)&amp;LEFT($BG$72,1))</f>
        <v>2011 Q2</v>
      </c>
      <c r="BH73" t="str">
        <f ca="1">IF(LEN($BH$72)&lt;&gt;8,$BH$72,RIGHT($BH$72,4)&amp;" "&amp;MID($BH$72,3,1)&amp;LEFT($BH$72,1))</f>
        <v>2011 Q1</v>
      </c>
      <c r="BI73" t="str">
        <f ca="1">IF(LEN($BI$72)&lt;&gt;8,$BI$72,RIGHT($BI$72,4)&amp;" "&amp;MID($BI$72,3,1)&amp;LEFT($BI$72,1))</f>
        <v>2010 Q4</v>
      </c>
      <c r="BJ73" t="str">
        <f ca="1">IF(LEN($BJ$72)&lt;&gt;8,$BJ$72,RIGHT($BJ$72,4)&amp;" "&amp;MID($BJ$72,3,1)&amp;LEFT($BJ$72,1))</f>
        <v>2010 Q3</v>
      </c>
      <c r="BN73" t="str">
        <f>""</f>
        <v/>
      </c>
      <c r="BO73" t="str">
        <f>""</f>
        <v/>
      </c>
      <c r="BP73" t="str">
        <f>""</f>
        <v/>
      </c>
      <c r="BQ73" t="str">
        <f>""</f>
        <v/>
      </c>
      <c r="BR73" t="str">
        <f>""</f>
        <v/>
      </c>
      <c r="BS73" t="str">
        <f>""</f>
        <v/>
      </c>
      <c r="BT73" t="str">
        <f>""</f>
        <v/>
      </c>
      <c r="BU73" t="str">
        <f>""</f>
        <v/>
      </c>
      <c r="BV73" t="str">
        <f>""</f>
        <v/>
      </c>
      <c r="BW73" t="str">
        <f>""</f>
        <v/>
      </c>
      <c r="BX73" t="str">
        <f>""</f>
        <v/>
      </c>
      <c r="BY73" t="str">
        <f>""</f>
        <v/>
      </c>
      <c r="BZ73" t="str">
        <f>""</f>
        <v/>
      </c>
      <c r="CA73" t="str">
        <f>""</f>
        <v/>
      </c>
      <c r="CB73" t="str">
        <f>""</f>
        <v/>
      </c>
      <c r="CC73" t="str">
        <f>""</f>
        <v/>
      </c>
      <c r="CD73" t="str">
        <f>""</f>
        <v/>
      </c>
      <c r="CE73" t="str">
        <f>""</f>
        <v/>
      </c>
      <c r="CF73" t="str">
        <f>""</f>
        <v/>
      </c>
      <c r="CG73" t="str">
        <f>""</f>
        <v/>
      </c>
      <c r="CH73" t="str">
        <f>""</f>
        <v/>
      </c>
      <c r="CI73" t="str">
        <f>""</f>
        <v/>
      </c>
      <c r="CJ73" t="str">
        <f>""</f>
        <v/>
      </c>
      <c r="CK73" t="str">
        <f>""</f>
        <v/>
      </c>
      <c r="CL73" t="str">
        <f>""</f>
        <v/>
      </c>
      <c r="CM73" t="str">
        <f>""</f>
        <v/>
      </c>
      <c r="CN73" t="str">
        <f>""</f>
        <v/>
      </c>
      <c r="CO73" t="str">
        <f>""</f>
        <v/>
      </c>
      <c r="CP73" t="str">
        <f>""</f>
        <v/>
      </c>
      <c r="CQ73" t="str">
        <f>""</f>
        <v/>
      </c>
      <c r="CR73" t="str">
        <f>""</f>
        <v/>
      </c>
      <c r="CS73" t="str">
        <f>""</f>
        <v/>
      </c>
      <c r="CT73" t="str">
        <f>""</f>
        <v/>
      </c>
      <c r="CU73" t="str">
        <f>""</f>
        <v/>
      </c>
      <c r="CV73" t="str">
        <f>""</f>
        <v/>
      </c>
      <c r="CW73" t="str">
        <f>""</f>
        <v/>
      </c>
      <c r="CX73" t="str">
        <f>""</f>
        <v/>
      </c>
      <c r="CY73" t="str">
        <f>""</f>
        <v/>
      </c>
      <c r="CZ73" t="str">
        <f>""</f>
        <v/>
      </c>
      <c r="DA73" t="str">
        <f>""</f>
        <v/>
      </c>
      <c r="DB73" t="str">
        <f>""</f>
        <v/>
      </c>
      <c r="DC73" t="str">
        <f>""</f>
        <v/>
      </c>
      <c r="DD73" t="str">
        <f>""</f>
        <v/>
      </c>
      <c r="DE73" t="str">
        <f>""</f>
        <v/>
      </c>
      <c r="DF73" t="str">
        <f>""</f>
        <v/>
      </c>
      <c r="DG73" t="str">
        <f>""</f>
        <v/>
      </c>
      <c r="DH73" t="str">
        <f>""</f>
        <v/>
      </c>
      <c r="DI73" t="str">
        <f>""</f>
        <v/>
      </c>
      <c r="DJ73" t="str">
        <f>""</f>
        <v/>
      </c>
      <c r="DK73" t="str">
        <f>""</f>
        <v/>
      </c>
      <c r="DL73" t="str">
        <f>""</f>
        <v/>
      </c>
      <c r="DM73" t="str">
        <f>""</f>
        <v/>
      </c>
      <c r="DN73" t="str">
        <f>""</f>
        <v/>
      </c>
      <c r="DO73" t="str">
        <f>""</f>
        <v/>
      </c>
      <c r="DP73" t="str">
        <f>""</f>
        <v/>
      </c>
      <c r="DQ73" t="str">
        <f>""</f>
        <v/>
      </c>
      <c r="DR73" t="str">
        <f>""</f>
        <v/>
      </c>
      <c r="DS73" t="str">
        <f>""</f>
        <v/>
      </c>
      <c r="DT73" t="str">
        <f>""</f>
        <v/>
      </c>
      <c r="DU73" t="str">
        <f>""</f>
        <v/>
      </c>
    </row>
    <row r="74" spans="1:125" x14ac:dyDescent="0.25">
      <c r="A74" t="str">
        <f>"No error found"</f>
        <v>No error found</v>
      </c>
      <c r="B74" t="str">
        <f>""</f>
        <v/>
      </c>
      <c r="C74" t="str">
        <f>""</f>
        <v/>
      </c>
      <c r="D74" t="str">
        <f>""</f>
        <v/>
      </c>
      <c r="E74" t="str">
        <f>""</f>
        <v/>
      </c>
      <c r="BN74" t="str">
        <f>""</f>
        <v/>
      </c>
      <c r="BO74" t="str">
        <f>""</f>
        <v/>
      </c>
      <c r="BP74" t="str">
        <f>""</f>
        <v/>
      </c>
      <c r="BQ74" t="str">
        <f>""</f>
        <v/>
      </c>
      <c r="BR74" t="str">
        <f>""</f>
        <v/>
      </c>
      <c r="BS74" t="str">
        <f>""</f>
        <v/>
      </c>
      <c r="BT74" t="str">
        <f>""</f>
        <v/>
      </c>
      <c r="BU74" t="str">
        <f>""</f>
        <v/>
      </c>
      <c r="BV74" t="str">
        <f>""</f>
        <v/>
      </c>
      <c r="BW74" t="str">
        <f>""</f>
        <v/>
      </c>
      <c r="BX74" t="str">
        <f>""</f>
        <v/>
      </c>
      <c r="BY74" t="str">
        <f>""</f>
        <v/>
      </c>
      <c r="BZ74" t="str">
        <f>""</f>
        <v/>
      </c>
      <c r="CA74" t="str">
        <f>""</f>
        <v/>
      </c>
      <c r="CB74" t="str">
        <f>""</f>
        <v/>
      </c>
      <c r="CC74" t="str">
        <f>""</f>
        <v/>
      </c>
      <c r="CD74" t="str">
        <f>""</f>
        <v/>
      </c>
      <c r="CE74" t="str">
        <f>""</f>
        <v/>
      </c>
      <c r="CF74" t="str">
        <f>""</f>
        <v/>
      </c>
      <c r="CG74" t="str">
        <f>""</f>
        <v/>
      </c>
      <c r="CH74" t="str">
        <f>""</f>
        <v/>
      </c>
      <c r="CI74" t="str">
        <f>""</f>
        <v/>
      </c>
      <c r="CJ74" t="str">
        <f>""</f>
        <v/>
      </c>
      <c r="CK74" t="str">
        <f>""</f>
        <v/>
      </c>
      <c r="CL74" t="str">
        <f>""</f>
        <v/>
      </c>
      <c r="CM74" t="str">
        <f>""</f>
        <v/>
      </c>
      <c r="CN74" t="str">
        <f>""</f>
        <v/>
      </c>
      <c r="CO74" t="str">
        <f>""</f>
        <v/>
      </c>
      <c r="CP74" t="str">
        <f>""</f>
        <v/>
      </c>
      <c r="CQ74" t="str">
        <f>""</f>
        <v/>
      </c>
      <c r="CR74" t="str">
        <f>""</f>
        <v/>
      </c>
      <c r="CS74" t="str">
        <f>""</f>
        <v/>
      </c>
      <c r="CT74" t="str">
        <f>""</f>
        <v/>
      </c>
      <c r="CU74" t="str">
        <f>""</f>
        <v/>
      </c>
      <c r="CV74" t="str">
        <f>""</f>
        <v/>
      </c>
      <c r="CW74" t="str">
        <f>""</f>
        <v/>
      </c>
      <c r="CX74" t="str">
        <f>""</f>
        <v/>
      </c>
      <c r="CY74" t="str">
        <f>""</f>
        <v/>
      </c>
      <c r="CZ74" t="str">
        <f>""</f>
        <v/>
      </c>
      <c r="DA74" t="str">
        <f>""</f>
        <v/>
      </c>
      <c r="DB74" t="str">
        <f>""</f>
        <v/>
      </c>
      <c r="DC74" t="str">
        <f>""</f>
        <v/>
      </c>
      <c r="DD74" t="str">
        <f>""</f>
        <v/>
      </c>
      <c r="DE74" t="str">
        <f>""</f>
        <v/>
      </c>
      <c r="DF74" t="str">
        <f>""</f>
        <v/>
      </c>
      <c r="DG74" t="str">
        <f>""</f>
        <v/>
      </c>
      <c r="DH74" t="str">
        <f>""</f>
        <v/>
      </c>
      <c r="DI74" t="str">
        <f>""</f>
        <v/>
      </c>
      <c r="DJ74" t="str">
        <f>""</f>
        <v/>
      </c>
      <c r="DK74" t="str">
        <f>""</f>
        <v/>
      </c>
      <c r="DL74" t="str">
        <f>""</f>
        <v/>
      </c>
      <c r="DM74" t="str">
        <f>""</f>
        <v/>
      </c>
      <c r="DN74" t="str">
        <f>""</f>
        <v/>
      </c>
      <c r="DO74" t="str">
        <f>""</f>
        <v/>
      </c>
      <c r="DP74" t="str">
        <f>""</f>
        <v/>
      </c>
      <c r="DQ74" t="str">
        <f>""</f>
        <v/>
      </c>
      <c r="DR74" t="str">
        <f>""</f>
        <v/>
      </c>
      <c r="DS74" t="str">
        <f>""</f>
        <v/>
      </c>
      <c r="DT74" t="str">
        <f>""</f>
        <v/>
      </c>
      <c r="DU74" t="str">
        <f>""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/>
  </sheetViews>
  <sheetFormatPr baseColWidth="10" defaultRowHeight="15" x14ac:dyDescent="0.25"/>
  <cols>
    <col min="1" max="1" width="9.140625" bestFit="1" customWidth="1"/>
  </cols>
  <sheetData>
    <row r="1" spans="1:1" x14ac:dyDescent="0.25">
      <c r="A1" s="1"/>
    </row>
    <row r="2" spans="1:1" x14ac:dyDescent="0.25">
      <c r="A2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</v>
      </c>
    </row>
    <row r="32" spans="1:1" x14ac:dyDescent="0.25">
      <c r="A32" t="s">
        <v>26</v>
      </c>
    </row>
    <row r="33" spans="1:1" x14ac:dyDescent="0.25">
      <c r="A3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BIData</vt:lpstr>
      <vt:lpstr>ReferenceData</vt:lpstr>
      <vt:lpstr>Help-Reference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Routier, Valentin</cp:lastModifiedBy>
  <dcterms:created xsi:type="dcterms:W3CDTF">2013-04-03T15:49:21Z</dcterms:created>
  <dcterms:modified xsi:type="dcterms:W3CDTF">2025-10-15T12:10:02Z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182d3d-4d11-4ad2-98b1-b6e6795f1803_Enabled">
    <vt:lpwstr>true</vt:lpwstr>
  </property>
  <property fmtid="{D5CDD505-2E9C-101B-9397-08002B2CF9AE}" pid="3" name="MSIP_Label_37182d3d-4d11-4ad2-98b1-b6e6795f1803_SetDate">
    <vt:lpwstr>2025-10-15T09:57:58Z</vt:lpwstr>
  </property>
  <property fmtid="{D5CDD505-2E9C-101B-9397-08002B2CF9AE}" pid="4" name="MSIP_Label_37182d3d-4d11-4ad2-98b1-b6e6795f1803_Method">
    <vt:lpwstr>Standard</vt:lpwstr>
  </property>
  <property fmtid="{D5CDD505-2E9C-101B-9397-08002B2CF9AE}" pid="5" name="MSIP_Label_37182d3d-4d11-4ad2-98b1-b6e6795f1803_Name">
    <vt:lpwstr>Confidential</vt:lpwstr>
  </property>
  <property fmtid="{D5CDD505-2E9C-101B-9397-08002B2CF9AE}" pid="6" name="MSIP_Label_37182d3d-4d11-4ad2-98b1-b6e6795f1803_SiteId">
    <vt:lpwstr>f36d0a0b-122d-4d4b-9a62-2f60847775a7</vt:lpwstr>
  </property>
  <property fmtid="{D5CDD505-2E9C-101B-9397-08002B2CF9AE}" pid="7" name="MSIP_Label_37182d3d-4d11-4ad2-98b1-b6e6795f1803_ActionId">
    <vt:lpwstr>34a16ec1-e3d4-42a3-ada7-65c748f61233</vt:lpwstr>
  </property>
  <property fmtid="{D5CDD505-2E9C-101B-9397-08002B2CF9AE}" pid="8" name="MSIP_Label_37182d3d-4d11-4ad2-98b1-b6e6795f1803_ContentBits">
    <vt:lpwstr>0</vt:lpwstr>
  </property>
  <property fmtid="{D5CDD505-2E9C-101B-9397-08002B2CF9AE}" pid="9" name="MSIP_Label_37182d3d-4d11-4ad2-98b1-b6e6795f1803_Tag">
    <vt:lpwstr>10, 3, 0, 1</vt:lpwstr>
  </property>
</Properties>
</file>